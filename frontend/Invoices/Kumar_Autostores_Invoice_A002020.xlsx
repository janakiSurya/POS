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<sst xmlns="http://schemas.openxmlformats.org/spreadsheetml/2006/main" count="238" uniqueCount="174">
  <si>
    <t xml:space="preserve">KUMAR AUTOSTORES  —  Tax Invoice (Credit) No. A002020  —  Dated 01/08/2026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</si>
  <si>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</si>
  <si>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</si>
  <si>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</si>
  <si>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</si>
  <si>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</si>
  <si>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</si>
  <si>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</si>
  <si>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</si>
  <si>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</si>
  <si>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</si>
  <si>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</si>
  <si>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</si>
  <si>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</si>
  <si>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</si>
  <si>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</si>
  <si>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</si>
  <si>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</si>
  <si>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</si>
  <si>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</si>
  <si>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</si>
  <si>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BHARATH IND</t>
  </si>
  <si>
    <t xml:space="preserve">PL-M42L</t>
  </si>
  <si>
    <t xml:space="preserve">SVM GLMR/HNK LHS</t>
  </si>
  <si>
    <t xml:space="preserve">85122010</t>
  </si>
  <si>
    <t xml:space="preserve">PL-M42R</t>
  </si>
  <si>
    <t xml:space="preserve">SVM GLMR/HNK RHS</t>
  </si>
  <si>
    <t xml:space="preserve">FAG</t>
  </si>
  <si>
    <t xml:space="preserve">FAG618187</t>
  </si>
  <si>
    <t xml:space="preserve">FORK CONE SET ACTIVA</t>
  </si>
  <si>
    <t xml:space="preserve">84821020</t>
  </si>
  <si>
    <t xml:space="preserve">LUMAX IND</t>
  </si>
  <si>
    <t xml:space="preserve">252-HLA-DTS-M</t>
  </si>
  <si>
    <t xml:space="preserve">DISCOVER DTSI H L ASSY</t>
  </si>
  <si>
    <t xml:space="preserve">MINDA</t>
  </si>
  <si>
    <t xml:space="preserve">SW-0722D</t>
  </si>
  <si>
    <t xml:space="preserve">H L SWITCH SPLENDOR</t>
  </si>
  <si>
    <t xml:space="preserve">85443000</t>
  </si>
  <si>
    <t xml:space="preserve">MINDA BRA-AIR</t>
  </si>
  <si>
    <t xml:space="preserve">HL-5182B</t>
  </si>
  <si>
    <t xml:space="preserve">H L ASSY XL-SUPER</t>
  </si>
  <si>
    <t xml:space="preserve">87141090</t>
  </si>
  <si>
    <t xml:space="preserve">MINDA SPARK</t>
  </si>
  <si>
    <t xml:space="preserve">WH-1087A</t>
  </si>
  <si>
    <t xml:space="preserve">WIRING KIT PASSION PLUS KS</t>
  </si>
  <si>
    <t xml:space="preserve">MUD</t>
  </si>
  <si>
    <t xml:space="preserve">MUD-01RE</t>
  </si>
  <si>
    <t xml:space="preserve">ACTIVA F MUDCAR RED 3G</t>
  </si>
  <si>
    <t xml:space="preserve">NV</t>
  </si>
  <si>
    <t xml:space="preserve">NAH062</t>
  </si>
  <si>
    <t xml:space="preserve">AIR FILTER YAMAHA RAY</t>
  </si>
  <si>
    <t xml:space="preserve">40169330</t>
  </si>
  <si>
    <t xml:space="preserve">NAJ036</t>
  </si>
  <si>
    <t xml:space="preserve">HH STAND PIN</t>
  </si>
  <si>
    <t xml:space="preserve">NAJ297</t>
  </si>
  <si>
    <t xml:space="preserve">OIL GAUGE {STICK} HH</t>
  </si>
  <si>
    <t xml:space="preserve">NAJ432</t>
  </si>
  <si>
    <t xml:space="preserve">TOOL BOX RUBBER HH SPLENDOR</t>
  </si>
  <si>
    <t xml:space="preserve">NV STI</t>
  </si>
  <si>
    <t xml:space="preserve">NJA465</t>
  </si>
  <si>
    <t xml:space="preserve">SPLD PLUS N\M 2019 BLACK GREY</t>
  </si>
  <si>
    <t xml:space="preserve">REMSONS</t>
  </si>
  <si>
    <t xml:space="preserve">2HE03CCX</t>
  </si>
  <si>
    <t xml:space="preserve">CLUTCH CABLE SPLD/SPLD+/NXG/PASSION/PAS…</t>
  </si>
  <si>
    <t xml:space="preserve">87149990</t>
  </si>
  <si>
    <t xml:space="preserve">Description cut off in scan by HSN column</t>
  </si>
  <si>
    <t xml:space="preserve">2HE03FB</t>
  </si>
  <si>
    <t xml:space="preserve">SPLNDR FB CABBUL</t>
  </si>
  <si>
    <t xml:space="preserve">ROLAN</t>
  </si>
  <si>
    <t xml:space="preserve">MAS-01</t>
  </si>
  <si>
    <t xml:space="preserve">MASTAR LOCK</t>
  </si>
  <si>
    <t xml:space="preserve">SAI</t>
  </si>
  <si>
    <t xml:space="preserve">SAI-186-BP</t>
  </si>
  <si>
    <t xml:space="preserve">HL VISOR (WG) PASSION PRO DIG BLK W RED STI</t>
  </si>
  <si>
    <t xml:space="preserve">SAI-186A</t>
  </si>
  <si>
    <t xml:space="preserve">HL VISOR (WG) PASSION PRO DIG BLK W BLUE STI</t>
  </si>
  <si>
    <t xml:space="preserve">SAI-186B-BP</t>
  </si>
  <si>
    <t xml:space="preserve">HL VISOR (WG) PASSION PRO DIG BLK W GREY STI</t>
  </si>
  <si>
    <t xml:space="preserve">SAI-442</t>
  </si>
  <si>
    <t xml:space="preserve">HL VISOR (WG) PASSION PRO (TYPE-3) BLK W RED…</t>
  </si>
  <si>
    <t xml:space="preserve">SAI-86-BP</t>
  </si>
  <si>
    <t xml:space="preserve">HL VISOR PASSION PLUS NM BLK W BLUE STI (BP)</t>
  </si>
  <si>
    <t xml:space="preserve">SAI-137</t>
  </si>
  <si>
    <t xml:space="preserve">RC ( OF 3) PLATINA BLK W SILVER STI</t>
  </si>
  <si>
    <t xml:space="preserve">SAI-423</t>
  </si>
  <si>
    <t xml:space="preserve">RC ( OF 6) GLM LST NM (TYPE-6) SPORTS RED</t>
  </si>
  <si>
    <t xml:space="preserve">SAI-57</t>
  </si>
  <si>
    <t xml:space="preserve">SC  PASSION PLUS BLK W BLUE STI</t>
  </si>
  <si>
    <t xml:space="preserve">SAI-42</t>
  </si>
  <si>
    <t xml:space="preserve">SC  PLATINA MATTE FOR BLK</t>
  </si>
  <si>
    <t xml:space="preserve">SGI GASKETS</t>
  </si>
  <si>
    <t xml:space="preserve">HP00011102</t>
  </si>
  <si>
    <t xml:space="preserve">MAGNET COVER PEKIBG HF DELUX</t>
  </si>
  <si>
    <t xml:space="preserve">84841090</t>
  </si>
  <si>
    <t xml:space="preserve">HP00011104</t>
  </si>
  <si>
    <t xml:space="preserve">PASSION PRO HALE SET</t>
  </si>
  <si>
    <t xml:space="preserve">SIL NET</t>
  </si>
  <si>
    <t xml:space="preserve">HH-74007</t>
  </si>
  <si>
    <t xml:space="preserve">SIDE STAND SPL</t>
  </si>
  <si>
    <t xml:space="preserve">SILVERUP</t>
  </si>
  <si>
    <t xml:space="preserve">HH-74000</t>
  </si>
  <si>
    <t xml:space="preserve">SIDE PENAL PATTI PESS</t>
  </si>
  <si>
    <t xml:space="preserve">HS-74005</t>
  </si>
  <si>
    <t xml:space="preserve">SIDE STAND UNICORN/SHINE</t>
  </si>
  <si>
    <t xml:space="preserve">UNITECH 18%</t>
  </si>
  <si>
    <t xml:space="preserve">UTM-148</t>
  </si>
  <si>
    <t xml:space="preserve">HL ASSAY P+</t>
  </si>
  <si>
    <t xml:space="preserve">VARROC</t>
  </si>
  <si>
    <t xml:space="preserve">HH14</t>
  </si>
  <si>
    <t xml:space="preserve">CDI SPLENDOR/PASSION</t>
  </si>
  <si>
    <t xml:space="preserve">TOTAL</t>
  </si>
  <si>
    <t xml:space="preserve">32 line items across 17 brands</t>
  </si>
  <si>
    <t xml:space="preserve">•  Source: scanned tax invoice A002020 dated 01/08/2026 from Kumar Autostores (3 pages, 32 line items), transcribed by reading each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</si>
  <si>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</si>
  <si>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</si>
  <si>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Every printed unit rate on this invoice is exactly MRP × (1−Disc 1) with no rounding, so the printed and recomputed rate columns are identical on all 32 lines.</t>
  </si>
  <si>
    <t xml:space="preserve">•  The 'Diff' column should read 0.00 on every line. Any non-zero value flags a transcription error to check against the scan.</t>
  </si>
  <si>
    <t xml:space="preserve">•  Sum of the printed Taxable Values is 39,239.80 against the invoice's printed Sub Total of 39,239.90 — a 0.10 rounding drift in the supplier's own software, not a transcription error. Total Qty (460) and the Grand Total (46,303.00) both reconcile exactly, and this is the only invoice in the set with a zero Round off.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</si>
  <si>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</si>
  <si>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</si>
  <si>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</si>
  <si>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</si>
  <si>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</si>
  <si>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</si>
  <si>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</si>
  <si>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</si>
  <si>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</si>
  <si>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</si>
  <si>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</si>
  <si>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</si>
  <si>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A002020</t>
  </si>
  <si>
    <t xml:space="preserve">Invoice date</t>
  </si>
  <si>
    <t xml:space="preserve">01/08/2026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</si>
  <si>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</si>
  <si>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</si>
  <si>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</si>
  <si>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</si>
  <si>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</si>
  <si>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</si>
  <si>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</si>
  <si>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</si>
  <si>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</si>
  <si>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</si>
  <si>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</si>
  <si>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</si>
  <si>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</si>
  <si>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</si>
  <si>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</si>
  <si>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</si>
  <si>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</si>
  <si>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</si>
  <si>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</si>
  <si>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</si>
  <si>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</si>
  <si>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</si>
  <si>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</si>
  <si>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</si>
  <si>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</si>
  <si>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</si>
  <si>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</si>
  <si>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</si>
  <si>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</si>
  <si>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Forty Six Thousand Three Hundred and Three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</si>
  <si>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</si>
  <si>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</si>
  <si>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</si>
  <si>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</si>
  <si>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</si>
  <si>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</si>
  <si>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</si>
  <si>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</si>
  <si>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17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</si>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</sst>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175</v>
      </c>
      <c r="G5" s="8" t="n">
        <v>0.45</v>
      </c>
      <c r="H5" s="8" t="n">
        <v>0</v>
      </c>
      <c r="I5" s="7" t="n">
        <v>96.25</v>
      </c>
      <c r="J5" s="9" t="n">
        <f aca="false">F5*(1-G5)*(1-H5)</f>
        <v>96.25</v>
      </c>
      <c r="K5" s="4" t="n">
        <v>6</v>
      </c>
      <c r="L5" s="9" t="n">
        <f aca="false">J5*K5</f>
        <v>577.5</v>
      </c>
      <c r="M5" s="8" t="n">
        <v>0.18</v>
      </c>
      <c r="N5" s="7" t="n">
        <v>489.41</v>
      </c>
      <c r="O5" s="9" t="n">
        <f aca="false">ROUND(L5/(1+M5),2)</f>
        <v>489.41</v>
      </c>
      <c r="P5" s="9" t="n">
        <f aca="false">O5-N5</f>
        <v>0</v>
      </c>
      <c r="Q5" s="9" t="n">
        <f aca="false">ROUND(N5*M5,2)</f>
        <v>88.09</v>
      </c>
      <c r="R5" s="9" t="n">
        <f aca="false">N5+Q5</f>
        <v>577.5</v>
      </c>
      <c r="S5" s="10"/>
    </row>
    <row r="6" customFormat="false" ht="15" hidden="false" customHeight="false" outlineLevel="0" collapsed="false">
      <c r="A6" s="4" t="n">
        <v>2</v>
      </c>
      <c r="B6" s="5" t="s">
        <v>21</v>
      </c>
      <c r="C6" s="5" t="s">
        <v>25</v>
      </c>
      <c r="D6" s="5" t="s">
        <v>26</v>
      </c>
      <c r="E6" s="6" t="s">
        <v>24</v>
      </c>
      <c r="F6" s="7" t="n">
        <v>175</v>
      </c>
      <c r="G6" s="8" t="n">
        <v>0.45</v>
      </c>
      <c r="H6" s="8" t="n">
        <v>0</v>
      </c>
      <c r="I6" s="7" t="n">
        <v>96.25</v>
      </c>
      <c r="J6" s="9" t="n">
        <f aca="false">F6*(1-G6)*(1-H6)</f>
        <v>96.25</v>
      </c>
      <c r="K6" s="4" t="n">
        <v>6</v>
      </c>
      <c r="L6" s="9" t="n">
        <f aca="false">J6*K6</f>
        <v>577.5</v>
      </c>
      <c r="M6" s="8" t="n">
        <v>0.18</v>
      </c>
      <c r="N6" s="7" t="n">
        <v>489.41</v>
      </c>
      <c r="O6" s="9" t="n">
        <f aca="false">ROUND(L6/(1+M6),2)</f>
        <v>489.41</v>
      </c>
      <c r="P6" s="9" t="n">
        <f aca="false">O6-N6</f>
        <v>0</v>
      </c>
      <c r="Q6" s="9" t="n">
        <f aca="false">ROUND(N6*M6,2)</f>
        <v>88.09</v>
      </c>
      <c r="R6" s="9" t="n">
        <f aca="false">N6+Q6</f>
        <v>577.5</v>
      </c>
      <c r="S6" s="10"/>
    </row>
    <row r="7" customFormat="false" ht="15" hidden="false" customHeight="false" outlineLevel="0" collapsed="false">
      <c r="A7" s="11" t="n">
        <v>3</v>
      </c>
      <c r="B7" s="12" t="s">
        <v>27</v>
      </c>
      <c r="C7" s="12" t="s">
        <v>28</v>
      </c>
      <c r="D7" s="12" t="s">
        <v>29</v>
      </c>
      <c r="E7" s="13" t="s">
        <v>30</v>
      </c>
      <c r="F7" s="14" t="n">
        <v>391</v>
      </c>
      <c r="G7" s="15" t="n">
        <v>0.4</v>
      </c>
      <c r="H7" s="15" t="n">
        <v>0</v>
      </c>
      <c r="I7" s="14" t="n">
        <v>234.6</v>
      </c>
      <c r="J7" s="16" t="n">
        <f aca="false">F7*(1-G7)*(1-H7)</f>
        <v>234.6</v>
      </c>
      <c r="K7" s="11" t="n">
        <v>5</v>
      </c>
      <c r="L7" s="16" t="n">
        <f aca="false">J7*K7</f>
        <v>1173</v>
      </c>
      <c r="M7" s="15" t="n">
        <v>0.18</v>
      </c>
      <c r="N7" s="14" t="n">
        <v>994.07</v>
      </c>
      <c r="O7" s="16" t="n">
        <f aca="false">ROUND(L7/(1+M7),2)</f>
        <v>994.07</v>
      </c>
      <c r="P7" s="16" t="n">
        <f aca="false">O7-N7</f>
        <v>0</v>
      </c>
      <c r="Q7" s="16" t="n">
        <f aca="false">ROUND(N7*M7,2)</f>
        <v>178.93</v>
      </c>
      <c r="R7" s="16" t="n">
        <f aca="false">N7+Q7</f>
        <v>1173</v>
      </c>
      <c r="S7" s="17"/>
    </row>
    <row r="8" customFormat="false" ht="15" hidden="false" customHeight="false" outlineLevel="0" collapsed="false">
      <c r="A8" s="11" t="n">
        <v>4</v>
      </c>
      <c r="B8" s="12" t="s">
        <v>31</v>
      </c>
      <c r="C8" s="12" t="s">
        <v>32</v>
      </c>
      <c r="D8" s="12" t="s">
        <v>33</v>
      </c>
      <c r="E8" s="13" t="s">
        <v>24</v>
      </c>
      <c r="F8" s="14" t="n">
        <v>1060</v>
      </c>
      <c r="G8" s="15" t="n">
        <v>0.35</v>
      </c>
      <c r="H8" s="15" t="n">
        <v>0</v>
      </c>
      <c r="I8" s="14" t="n">
        <v>689</v>
      </c>
      <c r="J8" s="16" t="n">
        <f aca="false">F8*(1-G8)*(1-H8)</f>
        <v>689</v>
      </c>
      <c r="K8" s="11" t="n">
        <v>3</v>
      </c>
      <c r="L8" s="16" t="n">
        <f aca="false">J8*K8</f>
        <v>2067</v>
      </c>
      <c r="M8" s="15" t="n">
        <v>0.18</v>
      </c>
      <c r="N8" s="14" t="n">
        <v>1751.69</v>
      </c>
      <c r="O8" s="16" t="n">
        <f aca="false">ROUND(L8/(1+M8),2)</f>
        <v>1751.69</v>
      </c>
      <c r="P8" s="16" t="n">
        <f aca="false">O8-N8</f>
        <v>0</v>
      </c>
      <c r="Q8" s="16" t="n">
        <f aca="false">ROUND(N8*M8,2)</f>
        <v>315.3</v>
      </c>
      <c r="R8" s="16" t="n">
        <f aca="false">N8+Q8</f>
        <v>2066.99</v>
      </c>
      <c r="S8" s="17"/>
    </row>
    <row r="9" customFormat="false" ht="15" hidden="false" customHeight="false" outlineLevel="0" collapsed="false">
      <c r="A9" s="11" t="n">
        <v>5</v>
      </c>
      <c r="B9" s="12" t="s">
        <v>34</v>
      </c>
      <c r="C9" s="12" t="s">
        <v>35</v>
      </c>
      <c r="D9" s="12" t="s">
        <v>36</v>
      </c>
      <c r="E9" s="13" t="s">
        <v>37</v>
      </c>
      <c r="F9" s="14" t="n">
        <v>277</v>
      </c>
      <c r="G9" s="15" t="n">
        <v>0.28</v>
      </c>
      <c r="H9" s="15" t="n">
        <v>0</v>
      </c>
      <c r="I9" s="14" t="n">
        <v>199.44</v>
      </c>
      <c r="J9" s="16" t="n">
        <f aca="false">F9*(1-G9)*(1-H9)</f>
        <v>199.44</v>
      </c>
      <c r="K9" s="11" t="n">
        <v>3</v>
      </c>
      <c r="L9" s="16" t="n">
        <f aca="false">J9*K9</f>
        <v>598.32</v>
      </c>
      <c r="M9" s="15" t="n">
        <v>0.18</v>
      </c>
      <c r="N9" s="14" t="n">
        <v>507.05</v>
      </c>
      <c r="O9" s="16" t="n">
        <f aca="false">ROUND(L9/(1+M9),2)</f>
        <v>507.05</v>
      </c>
      <c r="P9" s="16" t="n">
        <f aca="false">O9-N9</f>
        <v>0</v>
      </c>
      <c r="Q9" s="16" t="n">
        <f aca="false">ROUND(N9*M9,2)</f>
        <v>91.27</v>
      </c>
      <c r="R9" s="16" t="n">
        <f aca="false">N9+Q9</f>
        <v>598.32</v>
      </c>
      <c r="S9" s="17"/>
    </row>
    <row r="10" customFormat="false" ht="15" hidden="false" customHeight="false" outlineLevel="0" collapsed="false">
      <c r="A10" s="11" t="n">
        <v>6</v>
      </c>
      <c r="B10" s="12" t="s">
        <v>38</v>
      </c>
      <c r="C10" s="12" t="s">
        <v>39</v>
      </c>
      <c r="D10" s="12" t="s">
        <v>40</v>
      </c>
      <c r="E10" s="13" t="s">
        <v>41</v>
      </c>
      <c r="F10" s="14" t="n">
        <v>373</v>
      </c>
      <c r="G10" s="15" t="n">
        <v>0.34</v>
      </c>
      <c r="H10" s="15" t="n">
        <v>0</v>
      </c>
      <c r="I10" s="14" t="n">
        <v>246.18</v>
      </c>
      <c r="J10" s="16" t="n">
        <f aca="false">F10*(1-G10)*(1-H10)</f>
        <v>246.18</v>
      </c>
      <c r="K10" s="11" t="n">
        <v>6</v>
      </c>
      <c r="L10" s="16" t="n">
        <f aca="false">J10*K10</f>
        <v>1477.08</v>
      </c>
      <c r="M10" s="15" t="n">
        <v>0.18</v>
      </c>
      <c r="N10" s="14" t="n">
        <v>1251.76</v>
      </c>
      <c r="O10" s="16" t="n">
        <f aca="false">ROUND(L10/(1+M10),2)</f>
        <v>1251.76</v>
      </c>
      <c r="P10" s="16" t="n">
        <f aca="false">O10-N10</f>
        <v>0</v>
      </c>
      <c r="Q10" s="16" t="n">
        <f aca="false">ROUND(N10*M10,2)</f>
        <v>225.32</v>
      </c>
      <c r="R10" s="16" t="n">
        <f aca="false">N10+Q10</f>
        <v>1477.08</v>
      </c>
      <c r="S10" s="17"/>
    </row>
    <row r="11" customFormat="false" ht="15" hidden="false" customHeight="false" outlineLevel="0" collapsed="false">
      <c r="A11" s="11" t="n">
        <v>7</v>
      </c>
      <c r="B11" s="12" t="s">
        <v>42</v>
      </c>
      <c r="C11" s="12" t="s">
        <v>43</v>
      </c>
      <c r="D11" s="12" t="s">
        <v>44</v>
      </c>
      <c r="E11" s="13" t="s">
        <v>37</v>
      </c>
      <c r="F11" s="14" t="n">
        <v>1002</v>
      </c>
      <c r="G11" s="15" t="n">
        <v>0.3</v>
      </c>
      <c r="H11" s="15" t="n">
        <v>0</v>
      </c>
      <c r="I11" s="14" t="n">
        <v>701.4</v>
      </c>
      <c r="J11" s="16" t="n">
        <f aca="false">F11*(1-G11)*(1-H11)</f>
        <v>701.4</v>
      </c>
      <c r="K11" s="11" t="n">
        <v>2</v>
      </c>
      <c r="L11" s="16" t="n">
        <f aca="false">J11*K11</f>
        <v>1402.8</v>
      </c>
      <c r="M11" s="15" t="n">
        <v>0.18</v>
      </c>
      <c r="N11" s="14" t="n">
        <v>1188.81</v>
      </c>
      <c r="O11" s="16" t="n">
        <f aca="false">ROUND(L11/(1+M11),2)</f>
        <v>1188.81</v>
      </c>
      <c r="P11" s="16" t="n">
        <f aca="false">O11-N11</f>
        <v>0</v>
      </c>
      <c r="Q11" s="16" t="n">
        <f aca="false">ROUND(N11*M11,2)</f>
        <v>213.99</v>
      </c>
      <c r="R11" s="16" t="n">
        <f aca="false">N11+Q11</f>
        <v>1402.8</v>
      </c>
      <c r="S11" s="17"/>
    </row>
    <row r="12" customFormat="false" ht="15" hidden="false" customHeight="false" outlineLevel="0" collapsed="false">
      <c r="A12" s="11" t="n">
        <v>8</v>
      </c>
      <c r="B12" s="12" t="s">
        <v>45</v>
      </c>
      <c r="C12" s="12" t="s">
        <v>46</v>
      </c>
      <c r="D12" s="12" t="s">
        <v>47</v>
      </c>
      <c r="E12" s="13" t="s">
        <v>41</v>
      </c>
      <c r="F12" s="14" t="n">
        <v>780</v>
      </c>
      <c r="G12" s="15" t="n">
        <v>0</v>
      </c>
      <c r="H12" s="15" t="n">
        <v>0</v>
      </c>
      <c r="I12" s="14" t="n">
        <v>780</v>
      </c>
      <c r="J12" s="16" t="n">
        <f aca="false">F12*(1-G12)*(1-H12)</f>
        <v>780</v>
      </c>
      <c r="K12" s="11" t="n">
        <v>2</v>
      </c>
      <c r="L12" s="16" t="n">
        <f aca="false">J12*K12</f>
        <v>1560</v>
      </c>
      <c r="M12" s="15" t="n">
        <v>0.18</v>
      </c>
      <c r="N12" s="14" t="n">
        <v>1322.03</v>
      </c>
      <c r="O12" s="16" t="n">
        <f aca="false">ROUND(L12/(1+M12),2)</f>
        <v>1322.03</v>
      </c>
      <c r="P12" s="16" t="n">
        <f aca="false">O12-N12</f>
        <v>0</v>
      </c>
      <c r="Q12" s="16" t="n">
        <f aca="false">ROUND(N12*M12,2)</f>
        <v>237.97</v>
      </c>
      <c r="R12" s="16" t="n">
        <f aca="false">N12+Q12</f>
        <v>1560</v>
      </c>
      <c r="S12" s="17"/>
    </row>
    <row r="13" customFormat="false" ht="15" hidden="false" customHeight="false" outlineLevel="0" collapsed="false">
      <c r="A13" s="11" t="n">
        <v>9</v>
      </c>
      <c r="B13" s="12" t="s">
        <v>48</v>
      </c>
      <c r="C13" s="12" t="s">
        <v>49</v>
      </c>
      <c r="D13" s="12" t="s">
        <v>50</v>
      </c>
      <c r="E13" s="13" t="s">
        <v>51</v>
      </c>
      <c r="F13" s="14" t="n">
        <v>105</v>
      </c>
      <c r="G13" s="15" t="n">
        <v>0.43</v>
      </c>
      <c r="H13" s="15" t="n">
        <v>0</v>
      </c>
      <c r="I13" s="14" t="n">
        <v>59.85</v>
      </c>
      <c r="J13" s="16" t="n">
        <f aca="false">F13*(1-G13)*(1-H13)</f>
        <v>59.85</v>
      </c>
      <c r="K13" s="11" t="n">
        <v>5</v>
      </c>
      <c r="L13" s="16" t="n">
        <f aca="false">J13*K13</f>
        <v>299.25</v>
      </c>
      <c r="M13" s="15" t="n">
        <v>0.18</v>
      </c>
      <c r="N13" s="14" t="n">
        <v>253.6</v>
      </c>
      <c r="O13" s="16" t="n">
        <f aca="false">ROUND(L13/(1+M13),2)</f>
        <v>253.6</v>
      </c>
      <c r="P13" s="16" t="n">
        <f aca="false">O13-N13</f>
        <v>0</v>
      </c>
      <c r="Q13" s="16" t="n">
        <f aca="false">ROUND(N13*M13,2)</f>
        <v>45.65</v>
      </c>
      <c r="R13" s="16" t="n">
        <f aca="false">N13+Q13</f>
        <v>299.25</v>
      </c>
      <c r="S13" s="17"/>
    </row>
    <row r="14" customFormat="false" ht="15" hidden="false" customHeight="false" outlineLevel="0" collapsed="false">
      <c r="A14" s="4" t="n">
        <v>10</v>
      </c>
      <c r="B14" s="5" t="s">
        <v>48</v>
      </c>
      <c r="C14" s="5" t="s">
        <v>52</v>
      </c>
      <c r="D14" s="5" t="s">
        <v>53</v>
      </c>
      <c r="E14" s="6" t="s">
        <v>51</v>
      </c>
      <c r="F14" s="7" t="n">
        <v>70</v>
      </c>
      <c r="G14" s="8" t="n">
        <v>0.43</v>
      </c>
      <c r="H14" s="8" t="n">
        <v>0</v>
      </c>
      <c r="I14" s="7" t="n">
        <v>39.9</v>
      </c>
      <c r="J14" s="9" t="n">
        <f aca="false">F14*(1-G14)*(1-H14)</f>
        <v>39.9</v>
      </c>
      <c r="K14" s="4" t="n">
        <v>10</v>
      </c>
      <c r="L14" s="9" t="n">
        <f aca="false">J14*K14</f>
        <v>399</v>
      </c>
      <c r="M14" s="8" t="n">
        <v>0.18</v>
      </c>
      <c r="N14" s="7" t="n">
        <v>338.14</v>
      </c>
      <c r="O14" s="9" t="n">
        <f aca="false">ROUND(L14/(1+M14),2)</f>
        <v>338.14</v>
      </c>
      <c r="P14" s="9" t="n">
        <f aca="false">O14-N14</f>
        <v>0</v>
      </c>
      <c r="Q14" s="9" t="n">
        <f aca="false">ROUND(N14*M14,2)</f>
        <v>60.87</v>
      </c>
      <c r="R14" s="9" t="n">
        <f aca="false">N14+Q14</f>
        <v>399.01</v>
      </c>
      <c r="S14" s="10"/>
    </row>
    <row r="15" customFormat="false" ht="15" hidden="false" customHeight="false" outlineLevel="0" collapsed="false">
      <c r="A15" s="4" t="n">
        <v>11</v>
      </c>
      <c r="B15" s="5" t="s">
        <v>48</v>
      </c>
      <c r="C15" s="5" t="s">
        <v>54</v>
      </c>
      <c r="D15" s="5" t="s">
        <v>55</v>
      </c>
      <c r="E15" s="6" t="s">
        <v>51</v>
      </c>
      <c r="F15" s="7" t="n">
        <v>24</v>
      </c>
      <c r="G15" s="8" t="n">
        <v>0.43</v>
      </c>
      <c r="H15" s="8" t="n">
        <v>0</v>
      </c>
      <c r="I15" s="7" t="n">
        <v>13.68</v>
      </c>
      <c r="J15" s="9" t="n">
        <f aca="false">F15*(1-G15)*(1-H15)</f>
        <v>13.68</v>
      </c>
      <c r="K15" s="4" t="n">
        <v>10</v>
      </c>
      <c r="L15" s="9" t="n">
        <f aca="false">J15*K15</f>
        <v>136.8</v>
      </c>
      <c r="M15" s="8" t="n">
        <v>0.18</v>
      </c>
      <c r="N15" s="7" t="n">
        <v>115.93</v>
      </c>
      <c r="O15" s="9" t="n">
        <f aca="false">ROUND(L15/(1+M15),2)</f>
        <v>115.93</v>
      </c>
      <c r="P15" s="9" t="n">
        <f aca="false">O15-N15</f>
        <v>0</v>
      </c>
      <c r="Q15" s="9" t="n">
        <f aca="false">ROUND(N15*M15,2)</f>
        <v>20.87</v>
      </c>
      <c r="R15" s="9" t="n">
        <f aca="false">N15+Q15</f>
        <v>136.8</v>
      </c>
      <c r="S15" s="10"/>
    </row>
    <row r="16" customFormat="false" ht="15" hidden="false" customHeight="false" outlineLevel="0" collapsed="false">
      <c r="A16" s="4" t="n">
        <v>12</v>
      </c>
      <c r="B16" s="5" t="s">
        <v>48</v>
      </c>
      <c r="C16" s="5" t="s">
        <v>56</v>
      </c>
      <c r="D16" s="5" t="s">
        <v>57</v>
      </c>
      <c r="E16" s="6" t="s">
        <v>51</v>
      </c>
      <c r="F16" s="7" t="n">
        <v>3</v>
      </c>
      <c r="G16" s="8" t="n">
        <v>0.43</v>
      </c>
      <c r="H16" s="8" t="n">
        <v>0</v>
      </c>
      <c r="I16" s="7" t="n">
        <v>1.71</v>
      </c>
      <c r="J16" s="9" t="n">
        <f aca="false">F16*(1-G16)*(1-H16)</f>
        <v>1.71</v>
      </c>
      <c r="K16" s="4" t="n">
        <v>75</v>
      </c>
      <c r="L16" s="9" t="n">
        <f aca="false">J16*K16</f>
        <v>128.25</v>
      </c>
      <c r="M16" s="8" t="n">
        <v>0.18</v>
      </c>
      <c r="N16" s="7" t="n">
        <v>108.69</v>
      </c>
      <c r="O16" s="9" t="n">
        <f aca="false">ROUND(L16/(1+M16),2)</f>
        <v>108.69</v>
      </c>
      <c r="P16" s="9" t="n">
        <f aca="false">O16-N16</f>
        <v>0</v>
      </c>
      <c r="Q16" s="9" t="n">
        <f aca="false">ROUND(N16*M16,2)</f>
        <v>19.56</v>
      </c>
      <c r="R16" s="9" t="n">
        <f aca="false">N16+Q16</f>
        <v>128.25</v>
      </c>
      <c r="S16" s="10"/>
    </row>
    <row r="17" customFormat="false" ht="15" hidden="false" customHeight="false" outlineLevel="0" collapsed="false">
      <c r="A17" s="11" t="n">
        <v>13</v>
      </c>
      <c r="B17" s="12" t="s">
        <v>58</v>
      </c>
      <c r="C17" s="12" t="s">
        <v>59</v>
      </c>
      <c r="D17" s="12" t="s">
        <v>60</v>
      </c>
      <c r="E17" s="13" t="s">
        <v>51</v>
      </c>
      <c r="F17" s="14" t="n">
        <v>630</v>
      </c>
      <c r="G17" s="15" t="n">
        <v>0.43</v>
      </c>
      <c r="H17" s="15" t="n">
        <v>0</v>
      </c>
      <c r="I17" s="14" t="n">
        <v>359.1</v>
      </c>
      <c r="J17" s="16" t="n">
        <f aca="false">F17*(1-G17)*(1-H17)</f>
        <v>359.1</v>
      </c>
      <c r="K17" s="11" t="n">
        <v>2</v>
      </c>
      <c r="L17" s="16" t="n">
        <f aca="false">J17*K17</f>
        <v>718.2</v>
      </c>
      <c r="M17" s="15" t="n">
        <v>0.18</v>
      </c>
      <c r="N17" s="14" t="n">
        <v>608.64</v>
      </c>
      <c r="O17" s="16" t="n">
        <f aca="false">ROUND(L17/(1+M17),2)</f>
        <v>608.64</v>
      </c>
      <c r="P17" s="16" t="n">
        <f aca="false">O17-N17</f>
        <v>0</v>
      </c>
      <c r="Q17" s="16" t="n">
        <f aca="false">ROUND(N17*M17,2)</f>
        <v>109.56</v>
      </c>
      <c r="R17" s="16" t="n">
        <f aca="false">N17+Q17</f>
        <v>718.2</v>
      </c>
      <c r="S17" s="17"/>
    </row>
    <row r="18" customFormat="false" ht="15" hidden="false" customHeight="false" outlineLevel="0" collapsed="false">
      <c r="A18" s="11" t="n">
        <v>14</v>
      </c>
      <c r="B18" s="12" t="s">
        <v>61</v>
      </c>
      <c r="C18" s="12" t="s">
        <v>62</v>
      </c>
      <c r="D18" s="12" t="s">
        <v>63</v>
      </c>
      <c r="E18" s="13" t="s">
        <v>64</v>
      </c>
      <c r="F18" s="14" t="n">
        <v>105</v>
      </c>
      <c r="G18" s="15" t="n">
        <v>0.4</v>
      </c>
      <c r="H18" s="15" t="n">
        <v>0</v>
      </c>
      <c r="I18" s="14" t="n">
        <v>63</v>
      </c>
      <c r="J18" s="16" t="n">
        <f aca="false">F18*(1-G18)*(1-H18)</f>
        <v>63</v>
      </c>
      <c r="K18" s="11" t="n">
        <v>10</v>
      </c>
      <c r="L18" s="16" t="n">
        <f aca="false">J18*K18</f>
        <v>630</v>
      </c>
      <c r="M18" s="15" t="n">
        <v>0.18</v>
      </c>
      <c r="N18" s="14" t="n">
        <v>533.9</v>
      </c>
      <c r="O18" s="16" t="n">
        <f aca="false">ROUND(L18/(1+M18),2)</f>
        <v>533.9</v>
      </c>
      <c r="P18" s="16" t="n">
        <f aca="false">O18-N18</f>
        <v>0</v>
      </c>
      <c r="Q18" s="16" t="n">
        <f aca="false">ROUND(N18*M18,2)</f>
        <v>96.1</v>
      </c>
      <c r="R18" s="16" t="n">
        <f aca="false">N18+Q18</f>
        <v>630</v>
      </c>
      <c r="S18" s="17" t="s">
        <v>65</v>
      </c>
    </row>
    <row r="19" customFormat="false" ht="15" hidden="false" customHeight="false" outlineLevel="0" collapsed="false">
      <c r="A19" s="4" t="n">
        <v>15</v>
      </c>
      <c r="B19" s="5" t="s">
        <v>61</v>
      </c>
      <c r="C19" s="5" t="s">
        <v>66</v>
      </c>
      <c r="D19" s="5" t="s">
        <v>67</v>
      </c>
      <c r="E19" s="6" t="s">
        <v>64</v>
      </c>
      <c r="F19" s="7" t="n">
        <v>120</v>
      </c>
      <c r="G19" s="8" t="n">
        <v>0.4</v>
      </c>
      <c r="H19" s="8" t="n">
        <v>0</v>
      </c>
      <c r="I19" s="7" t="n">
        <v>72</v>
      </c>
      <c r="J19" s="9" t="n">
        <f aca="false">F19*(1-G19)*(1-H19)</f>
        <v>72</v>
      </c>
      <c r="K19" s="4" t="n">
        <v>15</v>
      </c>
      <c r="L19" s="9" t="n">
        <f aca="false">J19*K19</f>
        <v>1080</v>
      </c>
      <c r="M19" s="8" t="n">
        <v>0.18</v>
      </c>
      <c r="N19" s="7" t="n">
        <v>915.25</v>
      </c>
      <c r="O19" s="9" t="n">
        <f aca="false">ROUND(L19/(1+M19),2)</f>
        <v>915.25</v>
      </c>
      <c r="P19" s="9" t="n">
        <f aca="false">O19-N19</f>
        <v>0</v>
      </c>
      <c r="Q19" s="9" t="n">
        <f aca="false">ROUND(N19*M19,2)</f>
        <v>164.75</v>
      </c>
      <c r="R19" s="9" t="n">
        <f aca="false">N19+Q19</f>
        <v>1080</v>
      </c>
      <c r="S19" s="10"/>
    </row>
    <row r="20" customFormat="false" ht="15" hidden="false" customHeight="false" outlineLevel="0" collapsed="false">
      <c r="A20" s="11" t="n">
        <v>16</v>
      </c>
      <c r="B20" s="12" t="s">
        <v>68</v>
      </c>
      <c r="C20" s="12" t="s">
        <v>69</v>
      </c>
      <c r="D20" s="12" t="s">
        <v>70</v>
      </c>
      <c r="E20" s="13" t="s">
        <v>41</v>
      </c>
      <c r="F20" s="14" t="n">
        <v>45</v>
      </c>
      <c r="G20" s="15" t="n">
        <v>0.28</v>
      </c>
      <c r="H20" s="15" t="n">
        <v>0</v>
      </c>
      <c r="I20" s="14" t="n">
        <v>32.4</v>
      </c>
      <c r="J20" s="16" t="n">
        <f aca="false">F20*(1-G20)*(1-H20)</f>
        <v>32.4</v>
      </c>
      <c r="K20" s="11" t="n">
        <v>25</v>
      </c>
      <c r="L20" s="16" t="n">
        <f aca="false">J20*K20</f>
        <v>810</v>
      </c>
      <c r="M20" s="15" t="n">
        <v>0.18</v>
      </c>
      <c r="N20" s="14" t="n">
        <v>686.44</v>
      </c>
      <c r="O20" s="16" t="n">
        <f aca="false">ROUND(L20/(1+M20),2)</f>
        <v>686.44</v>
      </c>
      <c r="P20" s="16" t="n">
        <f aca="false">O20-N20</f>
        <v>0</v>
      </c>
      <c r="Q20" s="16" t="n">
        <f aca="false">ROUND(N20*M20,2)</f>
        <v>123.56</v>
      </c>
      <c r="R20" s="16" t="n">
        <f aca="false">N20+Q20</f>
        <v>810</v>
      </c>
      <c r="S20" s="17"/>
    </row>
    <row r="21" customFormat="false" ht="15" hidden="false" customHeight="false" outlineLevel="0" collapsed="false">
      <c r="A21" s="11" t="n">
        <v>17</v>
      </c>
      <c r="B21" s="12" t="s">
        <v>71</v>
      </c>
      <c r="C21" s="12" t="s">
        <v>72</v>
      </c>
      <c r="D21" s="12" t="s">
        <v>73</v>
      </c>
      <c r="E21" s="13" t="s">
        <v>41</v>
      </c>
      <c r="F21" s="14" t="n">
        <v>700</v>
      </c>
      <c r="G21" s="15" t="n">
        <v>0.38</v>
      </c>
      <c r="H21" s="15" t="n">
        <v>0</v>
      </c>
      <c r="I21" s="14" t="n">
        <v>434</v>
      </c>
      <c r="J21" s="16" t="n">
        <f aca="false">F21*(1-G21)*(1-H21)</f>
        <v>434</v>
      </c>
      <c r="K21" s="11" t="n">
        <v>8</v>
      </c>
      <c r="L21" s="16" t="n">
        <f aca="false">J21*K21</f>
        <v>3472</v>
      </c>
      <c r="M21" s="15" t="n">
        <v>0.18</v>
      </c>
      <c r="N21" s="14" t="n">
        <v>2942.37</v>
      </c>
      <c r="O21" s="16" t="n">
        <f aca="false">ROUND(L21/(1+M21),2)</f>
        <v>2942.37</v>
      </c>
      <c r="P21" s="16" t="n">
        <f aca="false">O21-N21</f>
        <v>0</v>
      </c>
      <c r="Q21" s="16" t="n">
        <f aca="false">ROUND(N21*M21,2)</f>
        <v>529.63</v>
      </c>
      <c r="R21" s="16" t="n">
        <f aca="false">N21+Q21</f>
        <v>3472</v>
      </c>
      <c r="S21" s="17"/>
    </row>
    <row r="22" customFormat="false" ht="15" hidden="false" customHeight="false" outlineLevel="0" collapsed="false">
      <c r="A22" s="4" t="n">
        <v>18</v>
      </c>
      <c r="B22" s="5" t="s">
        <v>71</v>
      </c>
      <c r="C22" s="5" t="s">
        <v>74</v>
      </c>
      <c r="D22" s="5" t="s">
        <v>75</v>
      </c>
      <c r="E22" s="6" t="s">
        <v>41</v>
      </c>
      <c r="F22" s="7" t="n">
        <v>735</v>
      </c>
      <c r="G22" s="8" t="n">
        <v>0.38</v>
      </c>
      <c r="H22" s="8" t="n">
        <v>0</v>
      </c>
      <c r="I22" s="7" t="n">
        <v>455.7</v>
      </c>
      <c r="J22" s="9" t="n">
        <f aca="false">F22*(1-G22)*(1-H22)</f>
        <v>455.7</v>
      </c>
      <c r="K22" s="4" t="n">
        <v>8</v>
      </c>
      <c r="L22" s="9" t="n">
        <f aca="false">J22*K22</f>
        <v>3645.6</v>
      </c>
      <c r="M22" s="8" t="n">
        <v>0.18</v>
      </c>
      <c r="N22" s="7" t="n">
        <v>3089.49</v>
      </c>
      <c r="O22" s="9" t="n">
        <f aca="false">ROUND(L22/(1+M22),2)</f>
        <v>3089.49</v>
      </c>
      <c r="P22" s="9" t="n">
        <f aca="false">O22-N22</f>
        <v>0</v>
      </c>
      <c r="Q22" s="9" t="n">
        <f aca="false">ROUND(N22*M22,2)</f>
        <v>556.11</v>
      </c>
      <c r="R22" s="9" t="n">
        <f aca="false">N22+Q22</f>
        <v>3645.6</v>
      </c>
      <c r="S22" s="10"/>
    </row>
    <row r="23" customFormat="false" ht="15" hidden="false" customHeight="false" outlineLevel="0" collapsed="false">
      <c r="A23" s="4" t="n">
        <v>19</v>
      </c>
      <c r="B23" s="5" t="s">
        <v>71</v>
      </c>
      <c r="C23" s="5" t="s">
        <v>76</v>
      </c>
      <c r="D23" s="5" t="s">
        <v>77</v>
      </c>
      <c r="E23" s="6" t="s">
        <v>41</v>
      </c>
      <c r="F23" s="7" t="n">
        <v>700</v>
      </c>
      <c r="G23" s="8" t="n">
        <v>0.38</v>
      </c>
      <c r="H23" s="8" t="n">
        <v>0</v>
      </c>
      <c r="I23" s="7" t="n">
        <v>434</v>
      </c>
      <c r="J23" s="9" t="n">
        <f aca="false">F23*(1-G23)*(1-H23)</f>
        <v>434</v>
      </c>
      <c r="K23" s="4" t="n">
        <v>8</v>
      </c>
      <c r="L23" s="9" t="n">
        <f aca="false">J23*K23</f>
        <v>3472</v>
      </c>
      <c r="M23" s="8" t="n">
        <v>0.18</v>
      </c>
      <c r="N23" s="7" t="n">
        <v>2942.37</v>
      </c>
      <c r="O23" s="9" t="n">
        <f aca="false">ROUND(L23/(1+M23),2)</f>
        <v>2942.37</v>
      </c>
      <c r="P23" s="9" t="n">
        <f aca="false">O23-N23</f>
        <v>0</v>
      </c>
      <c r="Q23" s="9" t="n">
        <f aca="false">ROUND(N23*M23,2)</f>
        <v>529.63</v>
      </c>
      <c r="R23" s="9" t="n">
        <f aca="false">N23+Q23</f>
        <v>3472</v>
      </c>
      <c r="S23" s="10"/>
    </row>
    <row r="24" customFormat="false" ht="15" hidden="false" customHeight="false" outlineLevel="0" collapsed="false">
      <c r="A24" s="4" t="n">
        <v>20</v>
      </c>
      <c r="B24" s="5" t="s">
        <v>71</v>
      </c>
      <c r="C24" s="5" t="s">
        <v>78</v>
      </c>
      <c r="D24" s="5" t="s">
        <v>79</v>
      </c>
      <c r="E24" s="6" t="s">
        <v>41</v>
      </c>
      <c r="F24" s="7" t="n">
        <v>775</v>
      </c>
      <c r="G24" s="8" t="n">
        <v>0.38</v>
      </c>
      <c r="H24" s="8" t="n">
        <v>0</v>
      </c>
      <c r="I24" s="7" t="n">
        <v>480.5</v>
      </c>
      <c r="J24" s="9" t="n">
        <f aca="false">F24*(1-G24)*(1-H24)</f>
        <v>480.5</v>
      </c>
      <c r="K24" s="4" t="n">
        <v>4</v>
      </c>
      <c r="L24" s="9" t="n">
        <f aca="false">J24*K24</f>
        <v>1922</v>
      </c>
      <c r="M24" s="8" t="n">
        <v>0.18</v>
      </c>
      <c r="N24" s="7" t="n">
        <v>1628.81</v>
      </c>
      <c r="O24" s="9" t="n">
        <f aca="false">ROUND(L24/(1+M24),2)</f>
        <v>1628.81</v>
      </c>
      <c r="P24" s="9" t="n">
        <f aca="false">O24-N24</f>
        <v>0</v>
      </c>
      <c r="Q24" s="9" t="n">
        <f aca="false">ROUND(N24*M24,2)</f>
        <v>293.19</v>
      </c>
      <c r="R24" s="9" t="n">
        <f aca="false">N24+Q24</f>
        <v>1922</v>
      </c>
      <c r="S24" s="10" t="s">
        <v>65</v>
      </c>
    </row>
    <row r="25" customFormat="false" ht="15" hidden="false" customHeight="false" outlineLevel="0" collapsed="false">
      <c r="A25" s="4" t="n">
        <v>21</v>
      </c>
      <c r="B25" s="5" t="s">
        <v>71</v>
      </c>
      <c r="C25" s="5" t="s">
        <v>80</v>
      </c>
      <c r="D25" s="5" t="s">
        <v>81</v>
      </c>
      <c r="E25" s="6" t="s">
        <v>41</v>
      </c>
      <c r="F25" s="7" t="n">
        <v>430</v>
      </c>
      <c r="G25" s="8" t="n">
        <v>0.38</v>
      </c>
      <c r="H25" s="8" t="n">
        <v>0</v>
      </c>
      <c r="I25" s="7" t="n">
        <v>266.6</v>
      </c>
      <c r="J25" s="9" t="n">
        <f aca="false">F25*(1-G25)*(1-H25)</f>
        <v>266.6</v>
      </c>
      <c r="K25" s="4" t="n">
        <v>10</v>
      </c>
      <c r="L25" s="9" t="n">
        <f aca="false">J25*K25</f>
        <v>2666</v>
      </c>
      <c r="M25" s="8" t="n">
        <v>0.18</v>
      </c>
      <c r="N25" s="7" t="n">
        <v>2259.32</v>
      </c>
      <c r="O25" s="9" t="n">
        <f aca="false">ROUND(L25/(1+M25),2)</f>
        <v>2259.32</v>
      </c>
      <c r="P25" s="9" t="n">
        <f aca="false">O25-N25</f>
        <v>0</v>
      </c>
      <c r="Q25" s="9" t="n">
        <f aca="false">ROUND(N25*M25,2)</f>
        <v>406.68</v>
      </c>
      <c r="R25" s="9" t="n">
        <f aca="false">N25+Q25</f>
        <v>2666</v>
      </c>
      <c r="S25" s="10"/>
    </row>
    <row r="26" customFormat="false" ht="15" hidden="false" customHeight="false" outlineLevel="0" collapsed="false">
      <c r="A26" s="4" t="n">
        <v>22</v>
      </c>
      <c r="B26" s="5" t="s">
        <v>71</v>
      </c>
      <c r="C26" s="5" t="s">
        <v>82</v>
      </c>
      <c r="D26" s="5" t="s">
        <v>83</v>
      </c>
      <c r="E26" s="6" t="s">
        <v>41</v>
      </c>
      <c r="F26" s="7" t="n">
        <v>820</v>
      </c>
      <c r="G26" s="8" t="n">
        <v>0.38</v>
      </c>
      <c r="H26" s="8" t="n">
        <v>0</v>
      </c>
      <c r="I26" s="7" t="n">
        <v>508.4</v>
      </c>
      <c r="J26" s="9" t="n">
        <f aca="false">F26*(1-G26)*(1-H26)</f>
        <v>508.4</v>
      </c>
      <c r="K26" s="4" t="n">
        <v>1</v>
      </c>
      <c r="L26" s="9" t="n">
        <f aca="false">J26*K26</f>
        <v>508.4</v>
      </c>
      <c r="M26" s="8" t="n">
        <v>0.18</v>
      </c>
      <c r="N26" s="7" t="n">
        <v>430.85</v>
      </c>
      <c r="O26" s="9" t="n">
        <f aca="false">ROUND(L26/(1+M26),2)</f>
        <v>430.85</v>
      </c>
      <c r="P26" s="9" t="n">
        <f aca="false">O26-N26</f>
        <v>0</v>
      </c>
      <c r="Q26" s="9" t="n">
        <f aca="false">ROUND(N26*M26,2)</f>
        <v>77.55</v>
      </c>
      <c r="R26" s="9" t="n">
        <f aca="false">N26+Q26</f>
        <v>508.4</v>
      </c>
      <c r="S26" s="10"/>
    </row>
    <row r="27" customFormat="false" ht="15" hidden="false" customHeight="false" outlineLevel="0" collapsed="false">
      <c r="A27" s="4" t="n">
        <v>23</v>
      </c>
      <c r="B27" s="5" t="s">
        <v>71</v>
      </c>
      <c r="C27" s="5" t="s">
        <v>84</v>
      </c>
      <c r="D27" s="5" t="s">
        <v>85</v>
      </c>
      <c r="E27" s="6" t="s">
        <v>41</v>
      </c>
      <c r="F27" s="7" t="n">
        <v>1030</v>
      </c>
      <c r="G27" s="8" t="n">
        <v>0.38</v>
      </c>
      <c r="H27" s="8" t="n">
        <v>0</v>
      </c>
      <c r="I27" s="7" t="n">
        <v>638.6</v>
      </c>
      <c r="J27" s="9" t="n">
        <f aca="false">F27*(1-G27)*(1-H27)</f>
        <v>638.6</v>
      </c>
      <c r="K27" s="4" t="n">
        <v>5</v>
      </c>
      <c r="L27" s="9" t="n">
        <f aca="false">J27*K27</f>
        <v>3193</v>
      </c>
      <c r="M27" s="8" t="n">
        <v>0.18</v>
      </c>
      <c r="N27" s="7" t="n">
        <v>2705.93</v>
      </c>
      <c r="O27" s="9" t="n">
        <f aca="false">ROUND(L27/(1+M27),2)</f>
        <v>2705.93</v>
      </c>
      <c r="P27" s="9" t="n">
        <f aca="false">O27-N27</f>
        <v>0</v>
      </c>
      <c r="Q27" s="9" t="n">
        <f aca="false">ROUND(N27*M27,2)</f>
        <v>487.07</v>
      </c>
      <c r="R27" s="9" t="n">
        <f aca="false">N27+Q27</f>
        <v>3193</v>
      </c>
      <c r="S27" s="10"/>
    </row>
    <row r="28" customFormat="false" ht="15" hidden="false" customHeight="false" outlineLevel="0" collapsed="false">
      <c r="A28" s="4" t="n">
        <v>24</v>
      </c>
      <c r="B28" s="5" t="s">
        <v>71</v>
      </c>
      <c r="C28" s="5" t="s">
        <v>86</v>
      </c>
      <c r="D28" s="5" t="s">
        <v>87</v>
      </c>
      <c r="E28" s="6" t="s">
        <v>41</v>
      </c>
      <c r="F28" s="7" t="n">
        <v>740</v>
      </c>
      <c r="G28" s="8" t="n">
        <v>0.38</v>
      </c>
      <c r="H28" s="8" t="n">
        <v>0</v>
      </c>
      <c r="I28" s="7" t="n">
        <v>458.8</v>
      </c>
      <c r="J28" s="9" t="n">
        <f aca="false">F28*(1-G28)*(1-H28)</f>
        <v>458.8</v>
      </c>
      <c r="K28" s="4" t="n">
        <v>3</v>
      </c>
      <c r="L28" s="9" t="n">
        <f aca="false">J28*K28</f>
        <v>1376.4</v>
      </c>
      <c r="M28" s="8" t="n">
        <v>0.18</v>
      </c>
      <c r="N28" s="7" t="n">
        <v>1166.44</v>
      </c>
      <c r="O28" s="9" t="n">
        <f aca="false">ROUND(L28/(1+M28),2)</f>
        <v>1166.44</v>
      </c>
      <c r="P28" s="9" t="n">
        <f aca="false">O28-N28</f>
        <v>0</v>
      </c>
      <c r="Q28" s="9" t="n">
        <f aca="false">ROUND(N28*M28,2)</f>
        <v>209.96</v>
      </c>
      <c r="R28" s="9" t="n">
        <f aca="false">N28+Q28</f>
        <v>1376.4</v>
      </c>
      <c r="S28" s="10"/>
    </row>
    <row r="29" customFormat="false" ht="15" hidden="false" customHeight="false" outlineLevel="0" collapsed="false">
      <c r="A29" s="4" t="n">
        <v>25</v>
      </c>
      <c r="B29" s="5" t="s">
        <v>71</v>
      </c>
      <c r="C29" s="5" t="s">
        <v>88</v>
      </c>
      <c r="D29" s="5" t="s">
        <v>89</v>
      </c>
      <c r="E29" s="6" t="s">
        <v>41</v>
      </c>
      <c r="F29" s="7" t="n">
        <v>795</v>
      </c>
      <c r="G29" s="8" t="n">
        <v>0.38</v>
      </c>
      <c r="H29" s="8" t="n">
        <v>0</v>
      </c>
      <c r="I29" s="7" t="n">
        <v>492.9</v>
      </c>
      <c r="J29" s="9" t="n">
        <f aca="false">F29*(1-G29)*(1-H29)</f>
        <v>492.9</v>
      </c>
      <c r="K29" s="4" t="n">
        <v>1</v>
      </c>
      <c r="L29" s="9" t="n">
        <f aca="false">J29*K29</f>
        <v>492.9</v>
      </c>
      <c r="M29" s="8" t="n">
        <v>0.18</v>
      </c>
      <c r="N29" s="7" t="n">
        <v>417.71</v>
      </c>
      <c r="O29" s="9" t="n">
        <f aca="false">ROUND(L29/(1+M29),2)</f>
        <v>417.71</v>
      </c>
      <c r="P29" s="9" t="n">
        <f aca="false">O29-N29</f>
        <v>0</v>
      </c>
      <c r="Q29" s="9" t="n">
        <f aca="false">ROUND(N29*M29,2)</f>
        <v>75.19</v>
      </c>
      <c r="R29" s="9" t="n">
        <f aca="false">N29+Q29</f>
        <v>492.9</v>
      </c>
      <c r="S29" s="10"/>
    </row>
    <row r="30" customFormat="false" ht="15" hidden="false" customHeight="false" outlineLevel="0" collapsed="false">
      <c r="A30" s="11" t="n">
        <v>26</v>
      </c>
      <c r="B30" s="12" t="s">
        <v>90</v>
      </c>
      <c r="C30" s="12" t="s">
        <v>91</v>
      </c>
      <c r="D30" s="12" t="s">
        <v>92</v>
      </c>
      <c r="E30" s="13" t="s">
        <v>93</v>
      </c>
      <c r="F30" s="14" t="n">
        <v>33</v>
      </c>
      <c r="G30" s="15" t="n">
        <v>0.42</v>
      </c>
      <c r="H30" s="15" t="n">
        <v>0</v>
      </c>
      <c r="I30" s="14" t="n">
        <v>19.14</v>
      </c>
      <c r="J30" s="16" t="n">
        <f aca="false">F30*(1-G30)*(1-H30)</f>
        <v>19.14</v>
      </c>
      <c r="K30" s="11" t="n">
        <v>20</v>
      </c>
      <c r="L30" s="16" t="n">
        <f aca="false">J30*K30</f>
        <v>382.8</v>
      </c>
      <c r="M30" s="15" t="n">
        <v>0.18</v>
      </c>
      <c r="N30" s="14" t="n">
        <v>324.41</v>
      </c>
      <c r="O30" s="16" t="n">
        <f aca="false">ROUND(L30/(1+M30),2)</f>
        <v>324.41</v>
      </c>
      <c r="P30" s="16" t="n">
        <f aca="false">O30-N30</f>
        <v>0</v>
      </c>
      <c r="Q30" s="16" t="n">
        <f aca="false">ROUND(N30*M30,2)</f>
        <v>58.39</v>
      </c>
      <c r="R30" s="16" t="n">
        <f aca="false">N30+Q30</f>
        <v>382.8</v>
      </c>
      <c r="S30" s="17"/>
    </row>
    <row r="31" customFormat="false" ht="15" hidden="false" customHeight="false" outlineLevel="0" collapsed="false">
      <c r="A31" s="4" t="n">
        <v>27</v>
      </c>
      <c r="B31" s="5" t="s">
        <v>90</v>
      </c>
      <c r="C31" s="5" t="s">
        <v>94</v>
      </c>
      <c r="D31" s="5" t="s">
        <v>95</v>
      </c>
      <c r="E31" s="6" t="s">
        <v>93</v>
      </c>
      <c r="F31" s="7" t="n">
        <v>117</v>
      </c>
      <c r="G31" s="8" t="n">
        <v>0.42</v>
      </c>
      <c r="H31" s="8" t="n">
        <v>0</v>
      </c>
      <c r="I31" s="7" t="n">
        <v>67.86</v>
      </c>
      <c r="J31" s="9" t="n">
        <f aca="false">F31*(1-G31)*(1-H31)</f>
        <v>67.86</v>
      </c>
      <c r="K31" s="4" t="n">
        <v>30</v>
      </c>
      <c r="L31" s="9" t="n">
        <f aca="false">J31*K31</f>
        <v>2035.8</v>
      </c>
      <c r="M31" s="8" t="n">
        <v>0.18</v>
      </c>
      <c r="N31" s="7" t="n">
        <v>1725.25</v>
      </c>
      <c r="O31" s="9" t="n">
        <f aca="false">ROUND(L31/(1+M31),2)</f>
        <v>1725.25</v>
      </c>
      <c r="P31" s="9" t="n">
        <f aca="false">O31-N31</f>
        <v>0</v>
      </c>
      <c r="Q31" s="9" t="n">
        <f aca="false">ROUND(N31*M31,2)</f>
        <v>310.55</v>
      </c>
      <c r="R31" s="9" t="n">
        <f aca="false">N31+Q31</f>
        <v>2035.8</v>
      </c>
      <c r="S31" s="10"/>
    </row>
    <row r="32" customFormat="false" ht="15" hidden="false" customHeight="false" outlineLevel="0" collapsed="false">
      <c r="A32" s="11" t="n">
        <v>28</v>
      </c>
      <c r="B32" s="12" t="s">
        <v>96</v>
      </c>
      <c r="C32" s="12" t="s">
        <v>97</v>
      </c>
      <c r="D32" s="12" t="s">
        <v>98</v>
      </c>
      <c r="E32" s="13" t="s">
        <v>41</v>
      </c>
      <c r="F32" s="14" t="n">
        <v>78</v>
      </c>
      <c r="G32" s="15" t="n">
        <v>0</v>
      </c>
      <c r="H32" s="15" t="n">
        <v>0</v>
      </c>
      <c r="I32" s="14" t="n">
        <v>78</v>
      </c>
      <c r="J32" s="16" t="n">
        <f aca="false">F32*(1-G32)*(1-H32)</f>
        <v>78</v>
      </c>
      <c r="K32" s="11" t="n">
        <v>30</v>
      </c>
      <c r="L32" s="16" t="n">
        <f aca="false">J32*K32</f>
        <v>2340</v>
      </c>
      <c r="M32" s="15" t="n">
        <v>0.18</v>
      </c>
      <c r="N32" s="14" t="n">
        <v>1983.05</v>
      </c>
      <c r="O32" s="16" t="n">
        <f aca="false">ROUND(L32/(1+M32),2)</f>
        <v>1983.05</v>
      </c>
      <c r="P32" s="16" t="n">
        <f aca="false">O32-N32</f>
        <v>0</v>
      </c>
      <c r="Q32" s="16" t="n">
        <f aca="false">ROUND(N32*M32,2)</f>
        <v>356.95</v>
      </c>
      <c r="R32" s="16" t="n">
        <f aca="false">N32+Q32</f>
        <v>2340</v>
      </c>
      <c r="S32" s="17"/>
    </row>
    <row r="33" customFormat="false" ht="15" hidden="false" customHeight="false" outlineLevel="0" collapsed="false">
      <c r="A33" s="11" t="n">
        <v>29</v>
      </c>
      <c r="B33" s="12" t="s">
        <v>99</v>
      </c>
      <c r="C33" s="12" t="s">
        <v>100</v>
      </c>
      <c r="D33" s="12" t="s">
        <v>101</v>
      </c>
      <c r="E33" s="13" t="s">
        <v>24</v>
      </c>
      <c r="F33" s="14" t="n">
        <v>4</v>
      </c>
      <c r="G33" s="15" t="n">
        <v>0.45</v>
      </c>
      <c r="H33" s="15" t="n">
        <v>0</v>
      </c>
      <c r="I33" s="14" t="n">
        <v>2.2</v>
      </c>
      <c r="J33" s="16" t="n">
        <f aca="false">F33*(1-G33)*(1-H33)</f>
        <v>2.2</v>
      </c>
      <c r="K33" s="11" t="n">
        <v>100</v>
      </c>
      <c r="L33" s="16" t="n">
        <f aca="false">J33*K33</f>
        <v>220</v>
      </c>
      <c r="M33" s="15" t="n">
        <v>0.18</v>
      </c>
      <c r="N33" s="14" t="n">
        <v>186.44</v>
      </c>
      <c r="O33" s="16" t="n">
        <f aca="false">ROUND(L33/(1+M33),2)</f>
        <v>186.44</v>
      </c>
      <c r="P33" s="16" t="n">
        <f aca="false">O33-N33</f>
        <v>0</v>
      </c>
      <c r="Q33" s="16" t="n">
        <f aca="false">ROUND(N33*M33,2)</f>
        <v>33.56</v>
      </c>
      <c r="R33" s="16" t="n">
        <f aca="false">N33+Q33</f>
        <v>220</v>
      </c>
      <c r="S33" s="17"/>
    </row>
    <row r="34" customFormat="false" ht="15" hidden="false" customHeight="false" outlineLevel="0" collapsed="false">
      <c r="A34" s="4" t="n">
        <v>30</v>
      </c>
      <c r="B34" s="5" t="s">
        <v>99</v>
      </c>
      <c r="C34" s="5" t="s">
        <v>102</v>
      </c>
      <c r="D34" s="5" t="s">
        <v>103</v>
      </c>
      <c r="E34" s="6" t="s">
        <v>24</v>
      </c>
      <c r="F34" s="7" t="n">
        <v>170</v>
      </c>
      <c r="G34" s="8" t="n">
        <v>0.45</v>
      </c>
      <c r="H34" s="8" t="n">
        <v>0</v>
      </c>
      <c r="I34" s="7" t="n">
        <v>93.5</v>
      </c>
      <c r="J34" s="9" t="n">
        <f aca="false">F34*(1-G34)*(1-H34)</f>
        <v>93.5</v>
      </c>
      <c r="K34" s="4" t="n">
        <v>30</v>
      </c>
      <c r="L34" s="9" t="n">
        <f aca="false">J34*K34</f>
        <v>2805</v>
      </c>
      <c r="M34" s="8" t="n">
        <v>0.18</v>
      </c>
      <c r="N34" s="7" t="n">
        <v>2377.12</v>
      </c>
      <c r="O34" s="9" t="n">
        <f aca="false">ROUND(L34/(1+M34),2)</f>
        <v>2377.12</v>
      </c>
      <c r="P34" s="9" t="n">
        <f aca="false">O34-N34</f>
        <v>0</v>
      </c>
      <c r="Q34" s="9" t="n">
        <f aca="false">ROUND(N34*M34,2)</f>
        <v>427.88</v>
      </c>
      <c r="R34" s="9" t="n">
        <f aca="false">N34+Q34</f>
        <v>2805</v>
      </c>
      <c r="S34" s="10"/>
    </row>
    <row r="35" customFormat="false" ht="15" hidden="false" customHeight="false" outlineLevel="0" collapsed="false">
      <c r="A35" s="11" t="n">
        <v>31</v>
      </c>
      <c r="B35" s="12" t="s">
        <v>104</v>
      </c>
      <c r="C35" s="12" t="s">
        <v>105</v>
      </c>
      <c r="D35" s="12" t="s">
        <v>106</v>
      </c>
      <c r="E35" s="13" t="s">
        <v>41</v>
      </c>
      <c r="F35" s="14" t="n">
        <v>525</v>
      </c>
      <c r="G35" s="15" t="n">
        <v>0.28</v>
      </c>
      <c r="H35" s="15" t="n">
        <v>0</v>
      </c>
      <c r="I35" s="14" t="n">
        <v>378</v>
      </c>
      <c r="J35" s="16" t="n">
        <f aca="false">F35*(1-G35)*(1-H35)</f>
        <v>378</v>
      </c>
      <c r="K35" s="11" t="n">
        <v>5</v>
      </c>
      <c r="L35" s="16" t="n">
        <f aca="false">J35*K35</f>
        <v>1890</v>
      </c>
      <c r="M35" s="15" t="n">
        <v>0.18</v>
      </c>
      <c r="N35" s="14" t="n">
        <v>1601.69</v>
      </c>
      <c r="O35" s="16" t="n">
        <f aca="false">ROUND(L35/(1+M35),2)</f>
        <v>1601.69</v>
      </c>
      <c r="P35" s="16" t="n">
        <f aca="false">O35-N35</f>
        <v>0</v>
      </c>
      <c r="Q35" s="16" t="n">
        <f aca="false">ROUND(N35*M35,2)</f>
        <v>288.3</v>
      </c>
      <c r="R35" s="16" t="n">
        <f aca="false">N35+Q35</f>
        <v>1889.99</v>
      </c>
      <c r="S35" s="17"/>
    </row>
    <row r="36" customFormat="false" ht="15" hidden="false" customHeight="false" outlineLevel="0" collapsed="false">
      <c r="A36" s="11" t="n">
        <v>32</v>
      </c>
      <c r="B36" s="12" t="s">
        <v>107</v>
      </c>
      <c r="C36" s="12" t="s">
        <v>108</v>
      </c>
      <c r="D36" s="12" t="s">
        <v>109</v>
      </c>
      <c r="E36" s="13" t="s">
        <v>41</v>
      </c>
      <c r="F36" s="14" t="n">
        <v>260</v>
      </c>
      <c r="G36" s="15" t="n">
        <v>0.28</v>
      </c>
      <c r="H36" s="15" t="n">
        <v>0</v>
      </c>
      <c r="I36" s="14" t="n">
        <v>187.2</v>
      </c>
      <c r="J36" s="16" t="n">
        <f aca="false">F36*(1-G36)*(1-H36)</f>
        <v>187.2</v>
      </c>
      <c r="K36" s="11" t="n">
        <v>12</v>
      </c>
      <c r="L36" s="16" t="n">
        <f aca="false">J36*K36</f>
        <v>2246.4</v>
      </c>
      <c r="M36" s="15" t="n">
        <v>0.18</v>
      </c>
      <c r="N36" s="14" t="n">
        <v>1903.73</v>
      </c>
      <c r="O36" s="16" t="n">
        <f aca="false">ROUND(L36/(1+M36),2)</f>
        <v>1903.73</v>
      </c>
      <c r="P36" s="16" t="n">
        <f aca="false">O36-N36</f>
        <v>0</v>
      </c>
      <c r="Q36" s="16" t="n">
        <f aca="false">ROUND(N36*M36,2)</f>
        <v>342.67</v>
      </c>
      <c r="R36" s="16" t="n">
        <f aca="false">N36+Q36</f>
        <v>2246.4</v>
      </c>
      <c r="S36" s="17"/>
    </row>
    <row r="37" customFormat="false" ht="15" hidden="false" customHeight="false" outlineLevel="0" collapsed="false">
      <c r="A37" s="18" t="s">
        <v>110</v>
      </c>
      <c r="B37" s="19"/>
      <c r="C37" s="19"/>
      <c r="D37" s="18" t="s">
        <v>111</v>
      </c>
      <c r="E37" s="19"/>
      <c r="F37" s="19"/>
      <c r="G37" s="19"/>
      <c r="H37" s="19"/>
      <c r="I37" s="19"/>
      <c r="J37" s="19"/>
      <c r="K37" s="20" t="n">
        <f aca="false">SUM(K5:K36)</f>
        <v>460</v>
      </c>
      <c r="L37" s="21" t="n">
        <f aca="false">SUM(L5:L36)</f>
        <v>46303</v>
      </c>
      <c r="M37" s="19"/>
      <c r="N37" s="21" t="n">
        <f aca="false">SUM(N5:N36)</f>
        <v>39239.8</v>
      </c>
      <c r="O37" s="21" t="n">
        <f aca="false">SUM(O5:O36)</f>
        <v>39239.8</v>
      </c>
      <c r="P37" s="21" t="n">
        <f aca="false">SUM(P5:P36)</f>
        <v>0</v>
      </c>
      <c r="Q37" s="21" t="n">
        <f aca="false">SUM(Q5:Q36)</f>
        <v>7063.19</v>
      </c>
      <c r="R37" s="21" t="n">
        <f aca="false">SUM(R5:R36)</f>
        <v>46302.99</v>
      </c>
      <c r="S37" s="19"/>
    </row>
    <row r="39" customFormat="false" ht="15" hidden="false" customHeight="false" outlineLevel="0" collapsed="false">
      <c r="A39" s="22" t="s">
        <v>20</v>
      </c>
    </row>
    <row r="40" customFormat="false" ht="25.5" hidden="false" customHeight="true" outlineLevel="0" collapsed="false">
      <c r="A40" s="23" t="s">
        <v>112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customFormat="false" ht="25.5" hidden="false" customHeight="true" outlineLevel="0" collapsed="false">
      <c r="A41" s="23" t="s">
        <v>113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customFormat="false" ht="25.5" hidden="false" customHeight="true" outlineLevel="0" collapsed="false">
      <c r="A42" s="23" t="s">
        <v>114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customFormat="false" ht="25.5" hidden="false" customHeight="true" outlineLevel="0" collapsed="false">
      <c r="A43" s="23" t="s">
        <v>115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customFormat="false" ht="25.5" hidden="false" customHeight="true" outlineLevel="0" collapsed="false">
      <c r="A44" s="23" t="s">
        <v>116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customFormat="false" ht="25.5" hidden="false" customHeight="true" outlineLevel="0" collapsed="false">
      <c r="A45" s="23" t="s">
        <v>117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</sheetData>
  <autoFilter ref="A4:S36"/>
  <mergeCells count="6">
    <mergeCell ref="A40:S40"/>
    <mergeCell ref="A41:S41"/>
    <mergeCell ref="A42:S42"/>
    <mergeCell ref="A43:S43"/>
    <mergeCell ref="A44:S44"/>
    <mergeCell ref="A45:S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118</v>
      </c>
    </row>
    <row r="3" customFormat="false" ht="15" hidden="false" customHeight="true" outlineLevel="0" collapsed="false">
      <c r="A3" s="22" t="s">
        <v>119</v>
      </c>
      <c r="B3" s="24" t="s">
        <v>120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121</v>
      </c>
      <c r="B4" s="24" t="s">
        <v>122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123</v>
      </c>
      <c r="B5" s="24" t="s">
        <v>124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125</v>
      </c>
      <c r="B6" s="24" t="s">
        <v>126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127</v>
      </c>
      <c r="B7" s="24" t="s">
        <v>128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129</v>
      </c>
      <c r="B8" s="24" t="s">
        <v>130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131</v>
      </c>
      <c r="B9" s="24" t="s">
        <v>132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133</v>
      </c>
      <c r="B10" s="24" t="s">
        <v>134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135</v>
      </c>
      <c r="B11" s="24" t="s">
        <v>136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137</v>
      </c>
      <c r="B12" s="24" t="s">
        <v>138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139</v>
      </c>
      <c r="B13" s="24" t="s">
        <v>140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141</v>
      </c>
      <c r="B14" s="24" t="s">
        <v>142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143</v>
      </c>
      <c r="B15" s="24" t="s">
        <v>132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144</v>
      </c>
      <c r="B16" s="24" t="s">
        <v>145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146</v>
      </c>
      <c r="C19" s="25" t="s">
        <v>147</v>
      </c>
      <c r="D19" s="25" t="s">
        <v>148</v>
      </c>
      <c r="E19" s="25" t="s">
        <v>149</v>
      </c>
    </row>
    <row r="20" customFormat="false" ht="15" hidden="false" customHeight="false" outlineLevel="0" collapsed="false">
      <c r="A20" s="26" t="s">
        <v>150</v>
      </c>
      <c r="C20" s="9" t="n">
        <f aca="false">SUM('Line Items'!N5:N36)</f>
        <v>39239.8</v>
      </c>
      <c r="D20" s="7" t="n">
        <v>39239.9</v>
      </c>
      <c r="E20" s="27" t="s">
        <v>151</v>
      </c>
    </row>
    <row r="21" customFormat="false" ht="15" hidden="false" customHeight="false" outlineLevel="0" collapsed="false">
      <c r="A21" s="26" t="s">
        <v>152</v>
      </c>
      <c r="C21" s="9" t="n">
        <f aca="false">ROUND(C20*0.09,2)</f>
        <v>3531.58</v>
      </c>
      <c r="D21" s="7" t="n">
        <v>3531.55</v>
      </c>
      <c r="E21" s="27" t="s">
        <v>153</v>
      </c>
    </row>
    <row r="22" customFormat="false" ht="15" hidden="false" customHeight="false" outlineLevel="0" collapsed="false">
      <c r="A22" s="26" t="s">
        <v>154</v>
      </c>
      <c r="C22" s="9" t="n">
        <f aca="false">ROUND(C20*0.09,2)</f>
        <v>3531.58</v>
      </c>
      <c r="D22" s="7" t="n">
        <v>3531.55</v>
      </c>
      <c r="E22" s="27" t="s">
        <v>155</v>
      </c>
    </row>
    <row r="23" customFormat="false" ht="15" hidden="false" customHeight="false" outlineLevel="0" collapsed="false">
      <c r="A23" s="26" t="s">
        <v>156</v>
      </c>
      <c r="C23" s="9" t="n">
        <f aca="false">C21+C22</f>
        <v>7063.16</v>
      </c>
      <c r="D23" s="7" t="n">
        <v>7063.1</v>
      </c>
      <c r="E23" s="27" t="s">
        <v>157</v>
      </c>
    </row>
    <row r="24" customFormat="false" ht="15" hidden="false" customHeight="false" outlineLevel="0" collapsed="false">
      <c r="A24" s="26" t="s">
        <v>158</v>
      </c>
      <c r="C24" s="7" t="n">
        <v>0</v>
      </c>
      <c r="D24" s="7" t="n">
        <v>0</v>
      </c>
      <c r="E24" s="27" t="s">
        <v>159</v>
      </c>
    </row>
    <row r="25" customFormat="false" ht="15" hidden="false" customHeight="false" outlineLevel="0" collapsed="false">
      <c r="A25" s="26" t="s">
        <v>160</v>
      </c>
      <c r="C25" s="7" t="n">
        <v>0</v>
      </c>
      <c r="D25" s="7" t="n">
        <v>0</v>
      </c>
      <c r="E25" s="27" t="s">
        <v>159</v>
      </c>
    </row>
    <row r="26" customFormat="false" ht="15" hidden="false" customHeight="false" outlineLevel="0" collapsed="false">
      <c r="A26" s="28" t="s">
        <v>161</v>
      </c>
      <c r="C26" s="29" t="n">
        <f aca="false">C20+C23+C24+C25</f>
        <v>46302.96</v>
      </c>
      <c r="D26" s="29" t="n">
        <v>46303</v>
      </c>
      <c r="E26" s="30" t="s">
        <v>162</v>
      </c>
    </row>
    <row r="27" customFormat="false" ht="15" hidden="false" customHeight="false" outlineLevel="0" collapsed="false">
      <c r="A27" s="22" t="s">
        <v>163</v>
      </c>
      <c r="C27" s="31" t="n">
        <f aca="false">SUM('Line Items'!K5:K36)</f>
        <v>460</v>
      </c>
      <c r="D27" s="32" t="n">
        <v>460</v>
      </c>
    </row>
    <row r="30" customFormat="false" ht="15" hidden="false" customHeight="false" outlineLevel="0" collapsed="false">
      <c r="A30" s="33" t="s">
        <v>164</v>
      </c>
    </row>
    <row r="31" customFormat="false" ht="27.75" hidden="false" customHeight="true" outlineLevel="0" collapsed="false">
      <c r="A31" s="34" t="s">
        <v>3</v>
      </c>
      <c r="B31" s="34" t="s">
        <v>165</v>
      </c>
      <c r="C31" s="34" t="s">
        <v>12</v>
      </c>
      <c r="D31" s="34" t="s">
        <v>166</v>
      </c>
      <c r="E31" s="34" t="s">
        <v>167</v>
      </c>
      <c r="F31" s="34" t="s">
        <v>168</v>
      </c>
      <c r="G31" s="34" t="s">
        <v>169</v>
      </c>
      <c r="H31" s="34" t="s">
        <v>170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Items'!$B$5:$B$36,$A32)</f>
        <v>2</v>
      </c>
      <c r="C32" s="35" t="n">
        <f aca="false">SUMIF('Line Items'!$B$5:$B$36,$A32,'Line Items'!$K$5:$K$36)</f>
        <v>12</v>
      </c>
      <c r="D32" s="9" t="n">
        <f aca="false">SUMPRODUCT(('Line Items'!$B$5:$B$36=$A32)*'Line Items'!$F$5:$F$36*'Line Items'!$K$5:$K$36)</f>
        <v>2100</v>
      </c>
      <c r="E32" s="7" t="n">
        <v>2100</v>
      </c>
      <c r="F32" s="9" t="n">
        <f aca="false">SUMPRODUCT(('Line Items'!$B$5:$B$36=$A32)*'Line Items'!$J$5:$J$36*'Line Items'!$K$5:$K$36)</f>
        <v>1155</v>
      </c>
      <c r="G32" s="7" t="n">
        <v>1155</v>
      </c>
      <c r="H32" s="9" t="n">
        <f aca="false">SUMIF('Line Items'!$B$5:$B$36,$A32,'Line Items'!$N$5:$N$36)</f>
        <v>978.82</v>
      </c>
    </row>
    <row r="33" customFormat="false" ht="15" hidden="false" customHeight="false" outlineLevel="0" collapsed="false">
      <c r="A33" s="5" t="s">
        <v>27</v>
      </c>
      <c r="B33" s="35" t="n">
        <f aca="false">COUNTIF('Line Items'!$B$5:$B$36,$A33)</f>
        <v>1</v>
      </c>
      <c r="C33" s="35" t="n">
        <f aca="false">SUMIF('Line Items'!$B$5:$B$36,$A33,'Line Items'!$K$5:$K$36)</f>
        <v>5</v>
      </c>
      <c r="D33" s="9" t="n">
        <f aca="false">SUMPRODUCT(('Line Items'!$B$5:$B$36=$A33)*'Line Items'!$F$5:$F$36*'Line Items'!$K$5:$K$36)</f>
        <v>1955</v>
      </c>
      <c r="E33" s="7" t="n">
        <v>1955</v>
      </c>
      <c r="F33" s="9" t="n">
        <f aca="false">SUMPRODUCT(('Line Items'!$B$5:$B$36=$A33)*'Line Items'!$J$5:$J$36*'Line Items'!$K$5:$K$36)</f>
        <v>1173</v>
      </c>
      <c r="G33" s="7" t="n">
        <v>1173</v>
      </c>
      <c r="H33" s="9" t="n">
        <f aca="false">SUMIF('Line Items'!$B$5:$B$36,$A33,'Line Items'!$N$5:$N$36)</f>
        <v>994.07</v>
      </c>
    </row>
    <row r="34" customFormat="false" ht="15" hidden="false" customHeight="false" outlineLevel="0" collapsed="false">
      <c r="A34" s="5" t="s">
        <v>31</v>
      </c>
      <c r="B34" s="35" t="n">
        <f aca="false">COUNTIF('Line Items'!$B$5:$B$36,$A34)</f>
        <v>1</v>
      </c>
      <c r="C34" s="35" t="n">
        <f aca="false">SUMIF('Line Items'!$B$5:$B$36,$A34,'Line Items'!$K$5:$K$36)</f>
        <v>3</v>
      </c>
      <c r="D34" s="9" t="n">
        <f aca="false">SUMPRODUCT(('Line Items'!$B$5:$B$36=$A34)*'Line Items'!$F$5:$F$36*'Line Items'!$K$5:$K$36)</f>
        <v>3180</v>
      </c>
      <c r="E34" s="7" t="n">
        <v>3180</v>
      </c>
      <c r="F34" s="9" t="n">
        <f aca="false">SUMPRODUCT(('Line Items'!$B$5:$B$36=$A34)*'Line Items'!$J$5:$J$36*'Line Items'!$K$5:$K$36)</f>
        <v>2067</v>
      </c>
      <c r="G34" s="7" t="n">
        <v>2067</v>
      </c>
      <c r="H34" s="9" t="n">
        <f aca="false">SUMIF('Line Items'!$B$5:$B$36,$A34,'Line Items'!$N$5:$N$36)</f>
        <v>1751.69</v>
      </c>
    </row>
    <row r="35" customFormat="false" ht="15" hidden="false" customHeight="false" outlineLevel="0" collapsed="false">
      <c r="A35" s="5" t="s">
        <v>34</v>
      </c>
      <c r="B35" s="35" t="n">
        <f aca="false">COUNTIF('Line Items'!$B$5:$B$36,$A35)</f>
        <v>1</v>
      </c>
      <c r="C35" s="35" t="n">
        <f aca="false">SUMIF('Line Items'!$B$5:$B$36,$A35,'Line Items'!$K$5:$K$36)</f>
        <v>3</v>
      </c>
      <c r="D35" s="9" t="n">
        <f aca="false">SUMPRODUCT(('Line Items'!$B$5:$B$36=$A35)*'Line Items'!$F$5:$F$36*'Line Items'!$K$5:$K$36)</f>
        <v>831</v>
      </c>
      <c r="E35" s="7" t="n">
        <v>831</v>
      </c>
      <c r="F35" s="9" t="n">
        <f aca="false">SUMPRODUCT(('Line Items'!$B$5:$B$36=$A35)*'Line Items'!$J$5:$J$36*'Line Items'!$K$5:$K$36)</f>
        <v>598.32</v>
      </c>
      <c r="G35" s="7" t="n">
        <v>598.32</v>
      </c>
      <c r="H35" s="9" t="n">
        <f aca="false">SUMIF('Line Items'!$B$5:$B$36,$A35,'Line Items'!$N$5:$N$36)</f>
        <v>507.05</v>
      </c>
    </row>
    <row r="36" customFormat="false" ht="15" hidden="false" customHeight="false" outlineLevel="0" collapsed="false">
      <c r="A36" s="5" t="s">
        <v>38</v>
      </c>
      <c r="B36" s="35" t="n">
        <f aca="false">COUNTIF('Line Items'!$B$5:$B$36,$A36)</f>
        <v>1</v>
      </c>
      <c r="C36" s="35" t="n">
        <f aca="false">SUMIF('Line Items'!$B$5:$B$36,$A36,'Line Items'!$K$5:$K$36)</f>
        <v>6</v>
      </c>
      <c r="D36" s="9" t="n">
        <f aca="false">SUMPRODUCT(('Line Items'!$B$5:$B$36=$A36)*'Line Items'!$F$5:$F$36*'Line Items'!$K$5:$K$36)</f>
        <v>2238</v>
      </c>
      <c r="E36" s="7" t="n">
        <v>2238</v>
      </c>
      <c r="F36" s="9" t="n">
        <f aca="false">SUMPRODUCT(('Line Items'!$B$5:$B$36=$A36)*'Line Items'!$J$5:$J$36*'Line Items'!$K$5:$K$36)</f>
        <v>1477.08</v>
      </c>
      <c r="G36" s="7" t="n">
        <v>1477.08</v>
      </c>
      <c r="H36" s="9" t="n">
        <f aca="false">SUMIF('Line Items'!$B$5:$B$36,$A36,'Line Items'!$N$5:$N$36)</f>
        <v>1251.76</v>
      </c>
    </row>
    <row r="37" customFormat="false" ht="15" hidden="false" customHeight="false" outlineLevel="0" collapsed="false">
      <c r="A37" s="5" t="s">
        <v>42</v>
      </c>
      <c r="B37" s="35" t="n">
        <f aca="false">COUNTIF('Line Items'!$B$5:$B$36,$A37)</f>
        <v>1</v>
      </c>
      <c r="C37" s="35" t="n">
        <f aca="false">SUMIF('Line Items'!$B$5:$B$36,$A37,'Line Items'!$K$5:$K$36)</f>
        <v>2</v>
      </c>
      <c r="D37" s="9" t="n">
        <f aca="false">SUMPRODUCT(('Line Items'!$B$5:$B$36=$A37)*'Line Items'!$F$5:$F$36*'Line Items'!$K$5:$K$36)</f>
        <v>2004</v>
      </c>
      <c r="E37" s="7" t="n">
        <v>2004</v>
      </c>
      <c r="F37" s="9" t="n">
        <f aca="false">SUMPRODUCT(('Line Items'!$B$5:$B$36=$A37)*'Line Items'!$J$5:$J$36*'Line Items'!$K$5:$K$36)</f>
        <v>1402.8</v>
      </c>
      <c r="G37" s="7" t="n">
        <v>1402.8</v>
      </c>
      <c r="H37" s="9" t="n">
        <f aca="false">SUMIF('Line Items'!$B$5:$B$36,$A37,'Line Items'!$N$5:$N$36)</f>
        <v>1188.81</v>
      </c>
    </row>
    <row r="38" customFormat="false" ht="15" hidden="false" customHeight="false" outlineLevel="0" collapsed="false">
      <c r="A38" s="5" t="s">
        <v>45</v>
      </c>
      <c r="B38" s="35" t="n">
        <f aca="false">COUNTIF('Line Items'!$B$5:$B$36,$A38)</f>
        <v>1</v>
      </c>
      <c r="C38" s="35" t="n">
        <f aca="false">SUMIF('Line Items'!$B$5:$B$36,$A38,'Line Items'!$K$5:$K$36)</f>
        <v>2</v>
      </c>
      <c r="D38" s="9" t="n">
        <f aca="false">SUMPRODUCT(('Line Items'!$B$5:$B$36=$A38)*'Line Items'!$F$5:$F$36*'Line Items'!$K$5:$K$36)</f>
        <v>1560</v>
      </c>
      <c r="E38" s="7" t="n">
        <v>1560</v>
      </c>
      <c r="F38" s="9" t="n">
        <f aca="false">SUMPRODUCT(('Line Items'!$B$5:$B$36=$A38)*'Line Items'!$J$5:$J$36*'Line Items'!$K$5:$K$36)</f>
        <v>1560</v>
      </c>
      <c r="G38" s="7" t="n">
        <v>1560</v>
      </c>
      <c r="H38" s="9" t="n">
        <f aca="false">SUMIF('Line Items'!$B$5:$B$36,$A38,'Line Items'!$N$5:$N$36)</f>
        <v>1322.03</v>
      </c>
    </row>
    <row r="39" customFormat="false" ht="15" hidden="false" customHeight="false" outlineLevel="0" collapsed="false">
      <c r="A39" s="5" t="s">
        <v>48</v>
      </c>
      <c r="B39" s="35" t="n">
        <f aca="false">COUNTIF('Line Items'!$B$5:$B$36,$A39)</f>
        <v>4</v>
      </c>
      <c r="C39" s="35" t="n">
        <f aca="false">SUMIF('Line Items'!$B$5:$B$36,$A39,'Line Items'!$K$5:$K$36)</f>
        <v>100</v>
      </c>
      <c r="D39" s="9" t="n">
        <f aca="false">SUMPRODUCT(('Line Items'!$B$5:$B$36=$A39)*'Line Items'!$F$5:$F$36*'Line Items'!$K$5:$K$36)</f>
        <v>1690</v>
      </c>
      <c r="E39" s="7" t="n">
        <v>1690</v>
      </c>
      <c r="F39" s="9" t="n">
        <f aca="false">SUMPRODUCT(('Line Items'!$B$5:$B$36=$A39)*'Line Items'!$J$5:$J$36*'Line Items'!$K$5:$K$36)</f>
        <v>963.3</v>
      </c>
      <c r="G39" s="7" t="n">
        <v>963.3</v>
      </c>
      <c r="H39" s="9" t="n">
        <f aca="false">SUMIF('Line Items'!$B$5:$B$36,$A39,'Line Items'!$N$5:$N$36)</f>
        <v>816.36</v>
      </c>
    </row>
    <row r="40" customFormat="false" ht="15" hidden="false" customHeight="false" outlineLevel="0" collapsed="false">
      <c r="A40" s="5" t="s">
        <v>58</v>
      </c>
      <c r="B40" s="35" t="n">
        <f aca="false">COUNTIF('Line Items'!$B$5:$B$36,$A40)</f>
        <v>1</v>
      </c>
      <c r="C40" s="35" t="n">
        <f aca="false">SUMIF('Line Items'!$B$5:$B$36,$A40,'Line Items'!$K$5:$K$36)</f>
        <v>2</v>
      </c>
      <c r="D40" s="9" t="n">
        <f aca="false">SUMPRODUCT(('Line Items'!$B$5:$B$36=$A40)*'Line Items'!$F$5:$F$36*'Line Items'!$K$5:$K$36)</f>
        <v>1260</v>
      </c>
      <c r="E40" s="7" t="n">
        <v>1260</v>
      </c>
      <c r="F40" s="9" t="n">
        <f aca="false">SUMPRODUCT(('Line Items'!$B$5:$B$36=$A40)*'Line Items'!$J$5:$J$36*'Line Items'!$K$5:$K$36)</f>
        <v>718.2</v>
      </c>
      <c r="G40" s="7" t="n">
        <v>718.2</v>
      </c>
      <c r="H40" s="9" t="n">
        <f aca="false">SUMIF('Line Items'!$B$5:$B$36,$A40,'Line Items'!$N$5:$N$36)</f>
        <v>608.64</v>
      </c>
    </row>
    <row r="41" customFormat="false" ht="15" hidden="false" customHeight="false" outlineLevel="0" collapsed="false">
      <c r="A41" s="5" t="s">
        <v>61</v>
      </c>
      <c r="B41" s="35" t="n">
        <f aca="false">COUNTIF('Line Items'!$B$5:$B$36,$A41)</f>
        <v>2</v>
      </c>
      <c r="C41" s="35" t="n">
        <f aca="false">SUMIF('Line Items'!$B$5:$B$36,$A41,'Line Items'!$K$5:$K$36)</f>
        <v>25</v>
      </c>
      <c r="D41" s="9" t="n">
        <f aca="false">SUMPRODUCT(('Line Items'!$B$5:$B$36=$A41)*'Line Items'!$F$5:$F$36*'Line Items'!$K$5:$K$36)</f>
        <v>2850</v>
      </c>
      <c r="E41" s="7" t="n">
        <v>2850</v>
      </c>
      <c r="F41" s="9" t="n">
        <f aca="false">SUMPRODUCT(('Line Items'!$B$5:$B$36=$A41)*'Line Items'!$J$5:$J$36*'Line Items'!$K$5:$K$36)</f>
        <v>1710</v>
      </c>
      <c r="G41" s="7" t="n">
        <v>1710</v>
      </c>
      <c r="H41" s="9" t="n">
        <f aca="false">SUMIF('Line Items'!$B$5:$B$36,$A41,'Line Items'!$N$5:$N$36)</f>
        <v>1449.15</v>
      </c>
    </row>
    <row r="42" customFormat="false" ht="15" hidden="false" customHeight="false" outlineLevel="0" collapsed="false">
      <c r="A42" s="5" t="s">
        <v>68</v>
      </c>
      <c r="B42" s="35" t="n">
        <f aca="false">COUNTIF('Line Items'!$B$5:$B$36,$A42)</f>
        <v>1</v>
      </c>
      <c r="C42" s="35" t="n">
        <f aca="false">SUMIF('Line Items'!$B$5:$B$36,$A42,'Line Items'!$K$5:$K$36)</f>
        <v>25</v>
      </c>
      <c r="D42" s="9" t="n">
        <f aca="false">SUMPRODUCT(('Line Items'!$B$5:$B$36=$A42)*'Line Items'!$F$5:$F$36*'Line Items'!$K$5:$K$36)</f>
        <v>1125</v>
      </c>
      <c r="E42" s="7" t="n">
        <v>1125</v>
      </c>
      <c r="F42" s="9" t="n">
        <f aca="false">SUMPRODUCT(('Line Items'!$B$5:$B$36=$A42)*'Line Items'!$J$5:$J$36*'Line Items'!$K$5:$K$36)</f>
        <v>810</v>
      </c>
      <c r="G42" s="7" t="n">
        <v>810</v>
      </c>
      <c r="H42" s="9" t="n">
        <f aca="false">SUMIF('Line Items'!$B$5:$B$36,$A42,'Line Items'!$N$5:$N$36)</f>
        <v>686.44</v>
      </c>
    </row>
    <row r="43" customFormat="false" ht="15" hidden="false" customHeight="false" outlineLevel="0" collapsed="false">
      <c r="A43" s="5" t="s">
        <v>71</v>
      </c>
      <c r="B43" s="35" t="n">
        <f aca="false">COUNTIF('Line Items'!$B$5:$B$36,$A43)</f>
        <v>9</v>
      </c>
      <c r="C43" s="35" t="n">
        <f aca="false">SUMIF('Line Items'!$B$5:$B$36,$A43,'Line Items'!$K$5:$K$36)</f>
        <v>48</v>
      </c>
      <c r="D43" s="9" t="n">
        <f aca="false">SUMPRODUCT(('Line Items'!$B$5:$B$36=$A43)*'Line Items'!$F$5:$F$36*'Line Items'!$K$5:$K$36)</f>
        <v>33465</v>
      </c>
      <c r="E43" s="7" t="n">
        <v>33465</v>
      </c>
      <c r="F43" s="9" t="n">
        <f aca="false">SUMPRODUCT(('Line Items'!$B$5:$B$36=$A43)*'Line Items'!$J$5:$J$36*'Line Items'!$K$5:$K$36)</f>
        <v>20748.3</v>
      </c>
      <c r="G43" s="7" t="n">
        <v>20748.3</v>
      </c>
      <c r="H43" s="9" t="n">
        <f aca="false">SUMIF('Line Items'!$B$5:$B$36,$A43,'Line Items'!$N$5:$N$36)</f>
        <v>17583.29</v>
      </c>
    </row>
    <row r="44" customFormat="false" ht="15" hidden="false" customHeight="false" outlineLevel="0" collapsed="false">
      <c r="A44" s="5" t="s">
        <v>90</v>
      </c>
      <c r="B44" s="35" t="n">
        <f aca="false">COUNTIF('Line Items'!$B$5:$B$36,$A44)</f>
        <v>2</v>
      </c>
      <c r="C44" s="35" t="n">
        <f aca="false">SUMIF('Line Items'!$B$5:$B$36,$A44,'Line Items'!$K$5:$K$36)</f>
        <v>50</v>
      </c>
      <c r="D44" s="9" t="n">
        <f aca="false">SUMPRODUCT(('Line Items'!$B$5:$B$36=$A44)*'Line Items'!$F$5:$F$36*'Line Items'!$K$5:$K$36)</f>
        <v>4170</v>
      </c>
      <c r="E44" s="7" t="n">
        <v>4170</v>
      </c>
      <c r="F44" s="9" t="n">
        <f aca="false">SUMPRODUCT(('Line Items'!$B$5:$B$36=$A44)*'Line Items'!$J$5:$J$36*'Line Items'!$K$5:$K$36)</f>
        <v>2418.6</v>
      </c>
      <c r="G44" s="7" t="n">
        <v>2418.6</v>
      </c>
      <c r="H44" s="9" t="n">
        <f aca="false">SUMIF('Line Items'!$B$5:$B$36,$A44,'Line Items'!$N$5:$N$36)</f>
        <v>2049.66</v>
      </c>
    </row>
    <row r="45" customFormat="false" ht="15" hidden="false" customHeight="false" outlineLevel="0" collapsed="false">
      <c r="A45" s="5" t="s">
        <v>96</v>
      </c>
      <c r="B45" s="35" t="n">
        <f aca="false">COUNTIF('Line Items'!$B$5:$B$36,$A45)</f>
        <v>1</v>
      </c>
      <c r="C45" s="35" t="n">
        <f aca="false">SUMIF('Line Items'!$B$5:$B$36,$A45,'Line Items'!$K$5:$K$36)</f>
        <v>30</v>
      </c>
      <c r="D45" s="9" t="n">
        <f aca="false">SUMPRODUCT(('Line Items'!$B$5:$B$36=$A45)*'Line Items'!$F$5:$F$36*'Line Items'!$K$5:$K$36)</f>
        <v>2340</v>
      </c>
      <c r="E45" s="7" t="n">
        <v>2340</v>
      </c>
      <c r="F45" s="9" t="n">
        <f aca="false">SUMPRODUCT(('Line Items'!$B$5:$B$36=$A45)*'Line Items'!$J$5:$J$36*'Line Items'!$K$5:$K$36)</f>
        <v>2340</v>
      </c>
      <c r="G45" s="7" t="n">
        <v>2340</v>
      </c>
      <c r="H45" s="9" t="n">
        <f aca="false">SUMIF('Line Items'!$B$5:$B$36,$A45,'Line Items'!$N$5:$N$36)</f>
        <v>1983.05</v>
      </c>
    </row>
    <row r="46" customFormat="false" ht="15" hidden="false" customHeight="false" outlineLevel="0" collapsed="false">
      <c r="A46" s="5" t="s">
        <v>99</v>
      </c>
      <c r="B46" s="35" t="n">
        <f aca="false">COUNTIF('Line Items'!$B$5:$B$36,$A46)</f>
        <v>2</v>
      </c>
      <c r="C46" s="35" t="n">
        <f aca="false">SUMIF('Line Items'!$B$5:$B$36,$A46,'Line Items'!$K$5:$K$36)</f>
        <v>130</v>
      </c>
      <c r="D46" s="9" t="n">
        <f aca="false">SUMPRODUCT(('Line Items'!$B$5:$B$36=$A46)*'Line Items'!$F$5:$F$36*'Line Items'!$K$5:$K$36)</f>
        <v>5500</v>
      </c>
      <c r="E46" s="7" t="n">
        <v>5500</v>
      </c>
      <c r="F46" s="9" t="n">
        <f aca="false">SUMPRODUCT(('Line Items'!$B$5:$B$36=$A46)*'Line Items'!$J$5:$J$36*'Line Items'!$K$5:$K$36)</f>
        <v>3025</v>
      </c>
      <c r="G46" s="7" t="n">
        <v>3025</v>
      </c>
      <c r="H46" s="9" t="n">
        <f aca="false">SUMIF('Line Items'!$B$5:$B$36,$A46,'Line Items'!$N$5:$N$36)</f>
        <v>2563.56</v>
      </c>
    </row>
    <row r="47" customFormat="false" ht="15" hidden="false" customHeight="false" outlineLevel="0" collapsed="false">
      <c r="A47" s="5" t="s">
        <v>104</v>
      </c>
      <c r="B47" s="35" t="n">
        <f aca="false">COUNTIF('Line Items'!$B$5:$B$36,$A47)</f>
        <v>1</v>
      </c>
      <c r="C47" s="35" t="n">
        <f aca="false">SUMIF('Line Items'!$B$5:$B$36,$A47,'Line Items'!$K$5:$K$36)</f>
        <v>5</v>
      </c>
      <c r="D47" s="9" t="n">
        <f aca="false">SUMPRODUCT(('Line Items'!$B$5:$B$36=$A47)*'Line Items'!$F$5:$F$36*'Line Items'!$K$5:$K$36)</f>
        <v>2625</v>
      </c>
      <c r="E47" s="7" t="n">
        <v>2625</v>
      </c>
      <c r="F47" s="9" t="n">
        <f aca="false">SUMPRODUCT(('Line Items'!$B$5:$B$36=$A47)*'Line Items'!$J$5:$J$36*'Line Items'!$K$5:$K$36)</f>
        <v>1890</v>
      </c>
      <c r="G47" s="7" t="n">
        <v>1890</v>
      </c>
      <c r="H47" s="9" t="n">
        <f aca="false">SUMIF('Line Items'!$B$5:$B$36,$A47,'Line Items'!$N$5:$N$36)</f>
        <v>1601.69</v>
      </c>
    </row>
    <row r="48" customFormat="false" ht="15" hidden="false" customHeight="false" outlineLevel="0" collapsed="false">
      <c r="A48" s="5" t="s">
        <v>107</v>
      </c>
      <c r="B48" s="35" t="n">
        <f aca="false">COUNTIF('Line Items'!$B$5:$B$36,$A48)</f>
        <v>1</v>
      </c>
      <c r="C48" s="35" t="n">
        <f aca="false">SUMIF('Line Items'!$B$5:$B$36,$A48,'Line Items'!$K$5:$K$36)</f>
        <v>12</v>
      </c>
      <c r="D48" s="9" t="n">
        <f aca="false">SUMPRODUCT(('Line Items'!$B$5:$B$36=$A48)*'Line Items'!$F$5:$F$36*'Line Items'!$K$5:$K$36)</f>
        <v>3120</v>
      </c>
      <c r="E48" s="7" t="n">
        <v>3120</v>
      </c>
      <c r="F48" s="9" t="n">
        <f aca="false">SUMPRODUCT(('Line Items'!$B$5:$B$36=$A48)*'Line Items'!$J$5:$J$36*'Line Items'!$K$5:$K$36)</f>
        <v>2246.4</v>
      </c>
      <c r="G48" s="7" t="n">
        <v>2246.4</v>
      </c>
      <c r="H48" s="9" t="n">
        <f aca="false">SUMIF('Line Items'!$B$5:$B$36,$A48,'Line Items'!$N$5:$N$36)</f>
        <v>1903.73</v>
      </c>
    </row>
    <row r="49" customFormat="false" ht="15" hidden="false" customHeight="false" outlineLevel="0" collapsed="false">
      <c r="A49" s="18" t="s">
        <v>110</v>
      </c>
      <c r="B49" s="20" t="n">
        <f aca="false">SUM(B32:B48)</f>
        <v>32</v>
      </c>
      <c r="C49" s="20" t="n">
        <f aca="false">SUM(C32:C48)</f>
        <v>460</v>
      </c>
      <c r="D49" s="21" t="n">
        <f aca="false">SUM(D32:D48)</f>
        <v>72013</v>
      </c>
      <c r="E49" s="21" t="n">
        <f aca="false">SUM(E32:E48)</f>
        <v>72013</v>
      </c>
      <c r="F49" s="21" t="n">
        <f aca="false">SUM(F32:F48)</f>
        <v>46303</v>
      </c>
      <c r="G49" s="21" t="n">
        <f aca="false">SUM(G32:G48)</f>
        <v>46303</v>
      </c>
      <c r="H49" s="21" t="n">
        <f aca="false">SUM(H32:H48)</f>
        <v>39239.8</v>
      </c>
    </row>
    <row r="51" customFormat="false" ht="25.5" hidden="false" customHeight="true" outlineLevel="0" collapsed="false">
      <c r="A51" s="23" t="s">
        <v>171</v>
      </c>
      <c r="B51" s="23"/>
      <c r="C51" s="23"/>
      <c r="D51" s="23"/>
      <c r="E51" s="23"/>
      <c r="F51" s="23"/>
      <c r="G51" s="23"/>
      <c r="H51" s="23"/>
    </row>
    <row r="52" customFormat="false" ht="25.5" hidden="false" customHeight="true" outlineLevel="0" collapsed="false">
      <c r="A52" s="23" t="s">
        <v>172</v>
      </c>
      <c r="B52" s="23"/>
      <c r="C52" s="23"/>
      <c r="D52" s="23"/>
      <c r="E52" s="23"/>
      <c r="F52" s="23"/>
      <c r="G52" s="23"/>
      <c r="H52" s="23"/>
    </row>
    <row r="53" customFormat="false" ht="25.5" hidden="false" customHeight="true" outlineLevel="0" collapsed="false">
      <c r="A53" s="23" t="s">
        <v>173</v>
      </c>
      <c r="B53" s="23"/>
      <c r="C53" s="23"/>
      <c r="D53" s="23"/>
      <c r="E53" s="23"/>
      <c r="F53" s="23"/>
      <c r="G53" s="23"/>
      <c r="H53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51:H51"/>
    <mergeCell ref="A52:H52"/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2026-08-31T21:41:01Z</dcterms:created>
  <dc:creator>openpyxl</dc:creator>
  <dc:description/>
  <dc:language>en-US</dc:language>
  <cp:lastModifiedBy/>
  <dcterms:modified xsi:type="dcterms:W3CDTF">2026-08-31T21:41:01Z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