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e Items" sheetId="1" state="visible" r:id="rId3"/>
    <sheet name="Group Reconciliation" sheetId="2" state="visible" r:id="rId4"/>
    <sheet name="Invoice Summary" sheetId="3" state="visible" r:id="rId5"/>
  </sheets>
  <definedNames>
    <definedName function="false" hidden="true" localSheetId="0" name="_xlnm._FilterDatabase" vbProcedure="false">'Line Items'!$A$1:$V$106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<sst xmlns="http://schemas.openxmlformats.org/spreadsheetml/2006/main" count="735" uniqueCount="319">
  <si>
    <t xml:space="preserve">Sn</t>
  </si>
  <si>
    <t xml:space="preserve">Brand Group</t>
  </si>
  <si>
    <t xml:space="preserve">Item Code</t>
  </si>
  <si>
    <t xml:space="preserve">Description</t>
  </si>
  <si>
    <t xml:space="preserve">HSN</t>
  </si>
  <si>
    <t xml:space="preserve">M.R.P</t>
  </si>
  <si>
    <t xml:space="preserve">Rate</t>
  </si>
  <si>
    <t xml:space="preserve">Qty</t>
  </si>
  <si>
    <t xml:space="preserve">Unit</t>
  </si>
  <si>
    <t xml:space="preserve">Disc %</t>
  </si>
  <si>
    <t xml:space="preserve">Taxable Amount</t>
  </si>
  <si>
    <t xml:space="preserve">CGST %</t>
  </si>
  <si>
    <t xml:space="preserve">CGST Value</t>
  </si>
  <si>
    <t xml:space="preserve">SGST %</t>
  </si>
  <si>
    <t xml:space="preserve">SGST Value</t>
  </si>
  <si>
    <t xml:space="preserve">Line Total</t>
  </si>
  <si>
    <t xml:space="preserve">Cost per unit (excl. GST)</t>
  </si>
  <si>
    <t xml:space="preserve">Gross (MRP x Qty)</t>
  </si>
  <si>
    <t xml:space="preserve">Check Taxable (Rate x Qty / 1.18)</t>
  </si>
  <si>
    <t xml:space="preserve">Diff</t>
  </si>
  <si>
    <t xml:space="preserve">Page</t>
  </si>
  <si>
    <t xml:space="preserve">Verification</t>
  </si>
  <si>
    <t xml:space="preserve">NV</t>
  </si>
  <si>
    <t xml:space="preserve">GAF144</t>
  </si>
  <si>
    <t xml:space="preserve">ACCESS 125 NEW AIR FILTER</t>
  </si>
  <si>
    <t xml:space="preserve">40169330</t>
  </si>
  <si>
    <t xml:space="preserve">PC</t>
  </si>
  <si>
    <t xml:space="preserve">Confirmed vs image</t>
  </si>
  <si>
    <t xml:space="preserve">NAJ001</t>
  </si>
  <si>
    <t xml:space="preserve">SPLENDOR AIR FILTER</t>
  </si>
  <si>
    <t xml:space="preserve">Confirmed vs image - CODE UNCLEAR, see note</t>
  </si>
  <si>
    <t xml:space="preserve">NAN122</t>
  </si>
  <si>
    <t xml:space="preserve">FOOREST ROAD XL-100</t>
  </si>
  <si>
    <t xml:space="preserve">NAN132</t>
  </si>
  <si>
    <t xml:space="preserve">FOOREST ROAD XL SUPER HD</t>
  </si>
  <si>
    <t xml:space="preserve">NAN286</t>
  </si>
  <si>
    <t xml:space="preserve">XL SILENCER BEND PIPE XL-SUPER 2004</t>
  </si>
  <si>
    <t xml:space="preserve">NAN341</t>
  </si>
  <si>
    <t xml:space="preserve">MUDGUARD PATTI TVS SUPER XL M.GREEN</t>
  </si>
  <si>
    <t xml:space="preserve">NAN344</t>
  </si>
  <si>
    <t xml:space="preserve">XL SILENCER BEND PIPE XL SUPER N19 5</t>
  </si>
  <si>
    <t xml:space="preserve">NAQ127</t>
  </si>
  <si>
    <t xml:space="preserve">AIR FOAM HONDA ACTIVA</t>
  </si>
  <si>
    <t xml:space="preserve">NAQ164</t>
  </si>
  <si>
    <t xml:space="preserve">ACTIVA 110 AIR FILER NV</t>
  </si>
  <si>
    <t xml:space="preserve">NAQ229</t>
  </si>
  <si>
    <t xml:space="preserve">AIR FILER UNICORN</t>
  </si>
  <si>
    <t xml:space="preserve">NAQ232</t>
  </si>
  <si>
    <t xml:space="preserve">AIR FILTER SHINE</t>
  </si>
  <si>
    <t xml:space="preserve">NAQ484</t>
  </si>
  <si>
    <t xml:space="preserve">3G AIR FILTER NV</t>
  </si>
  <si>
    <t xml:space="preserve">NAQ530</t>
  </si>
  <si>
    <t xml:space="preserve">SILENCER PATRA 3G</t>
  </si>
  <si>
    <t xml:space="preserve">NAQ740</t>
  </si>
  <si>
    <t xml:space="preserve">SILENCER BEND PIPE ACTIVA 3G</t>
  </si>
  <si>
    <t xml:space="preserve">NJA001</t>
  </si>
  <si>
    <t xml:space="preserve">SILENCER BEND PIPE SPLENDOR</t>
  </si>
  <si>
    <t xml:space="preserve">NJA068</t>
  </si>
  <si>
    <t xml:space="preserve">HANDLE GRIP SET PASSION PRO</t>
  </si>
  <si>
    <t xml:space="preserve">ST</t>
  </si>
  <si>
    <t xml:space="preserve">NJA108</t>
  </si>
  <si>
    <t xml:space="preserve">HANDLE GRIP SET HH SPL</t>
  </si>
  <si>
    <t xml:space="preserve">NJA152</t>
  </si>
  <si>
    <t xml:space="preserve">SILNCER BEND PIPES PLEASURE</t>
  </si>
  <si>
    <t xml:space="preserve">SILVERUP</t>
  </si>
  <si>
    <t xml:space="preserve">HS-12007</t>
  </si>
  <si>
    <t xml:space="preserve">CENTER STAND W/PIN &amp; SPRING UNICORN</t>
  </si>
  <si>
    <t xml:space="preserve">85122010</t>
  </si>
  <si>
    <t xml:space="preserve">TV-45013</t>
  </si>
  <si>
    <t xml:space="preserve">KICK PEDAL S-XL 100CC</t>
  </si>
  <si>
    <t xml:space="preserve">ROLAN</t>
  </si>
  <si>
    <t xml:space="preserve">150ML</t>
  </si>
  <si>
    <t xml:space="preserve">CHAIN SPRAY 150ML</t>
  </si>
  <si>
    <t xml:space="preserve">REMSONS</t>
  </si>
  <si>
    <t xml:space="preserve">2HE01AC</t>
  </si>
  <si>
    <t xml:space="preserve">ACC CABUL SPLENDER</t>
  </si>
  <si>
    <t xml:space="preserve">87149990</t>
  </si>
  <si>
    <t xml:space="preserve">2HE03CCX</t>
  </si>
  <si>
    <t xml:space="preserve">CLUTCH CABLE SPLD/SPLD+/NXG/PASSION/</t>
  </si>
  <si>
    <t xml:space="preserve">2HE03FB</t>
  </si>
  <si>
    <t xml:space="preserve">SPLNDR FB CABBUL</t>
  </si>
  <si>
    <t xml:space="preserve">2HE16CC</t>
  </si>
  <si>
    <t xml:space="preserve">PASSION PRO DIG CLUTCH CABUL</t>
  </si>
  <si>
    <t xml:space="preserve">2HE16FB</t>
  </si>
  <si>
    <t xml:space="preserve">FB CABUL PAS PRO DIGITAL</t>
  </si>
  <si>
    <t xml:space="preserve">2HE17SP</t>
  </si>
  <si>
    <t xml:space="preserve">SM CABUL PASSION PLUS</t>
  </si>
  <si>
    <t xml:space="preserve">2HE19AC</t>
  </si>
  <si>
    <t xml:space="preserve">SHINE ACC CABUL</t>
  </si>
  <si>
    <t xml:space="preserve">2HE22CH</t>
  </si>
  <si>
    <t xml:space="preserve">CHOKE CABUL MAESTRO</t>
  </si>
  <si>
    <t xml:space="preserve">2HE22FBLX</t>
  </si>
  <si>
    <t xml:space="preserve">FB CABUL LH MAESTRO</t>
  </si>
  <si>
    <t xml:space="preserve">2HE22FBRX</t>
  </si>
  <si>
    <t xml:space="preserve">FB CABUL RH MAESTRO</t>
  </si>
  <si>
    <t xml:space="preserve">2HE33AC</t>
  </si>
  <si>
    <t xml:space="preserve">ACC CABUL GLAMOUR FI</t>
  </si>
  <si>
    <t xml:space="preserve">2HN01AC</t>
  </si>
  <si>
    <t xml:space="preserve">ACTIVA ACC CABIL 110CC</t>
  </si>
  <si>
    <t xml:space="preserve">2HN01SP</t>
  </si>
  <si>
    <t xml:space="preserve">SM CABUL ACTIVA NEW 110CC</t>
  </si>
  <si>
    <t xml:space="preserve">2HN07AC</t>
  </si>
  <si>
    <t xml:space="preserve">ACC CABUL CBZ XTREME</t>
  </si>
  <si>
    <t xml:space="preserve">2HN07CC</t>
  </si>
  <si>
    <t xml:space="preserve">CBZ EXTREEM CLUTCH CABUL</t>
  </si>
  <si>
    <t xml:space="preserve">2HN07SP</t>
  </si>
  <si>
    <t xml:space="preserve">CBZ EXTREEM SM CABUL</t>
  </si>
  <si>
    <t xml:space="preserve">2HN11CC</t>
  </si>
  <si>
    <t xml:space="preserve">CLUTCH CABUL SHINE</t>
  </si>
  <si>
    <t xml:space="preserve">2HN11SP</t>
  </si>
  <si>
    <t xml:space="preserve">SHINE SM CABUL</t>
  </si>
  <si>
    <t xml:space="preserve">2TV24AC</t>
  </si>
  <si>
    <t xml:space="preserve">ACC CABIL SUPER XI HD</t>
  </si>
  <si>
    <t xml:space="preserve">2TV24CH2</t>
  </si>
  <si>
    <t xml:space="preserve">CHOKE CABUL SUPER XI HD</t>
  </si>
  <si>
    <t xml:space="preserve">2TV24FB2</t>
  </si>
  <si>
    <t xml:space="preserve">FB CABUL SUPER XI HD</t>
  </si>
  <si>
    <t xml:space="preserve">2TV24RB</t>
  </si>
  <si>
    <t xml:space="preserve">REAR BRAKE CABUL SUPER XI HD</t>
  </si>
  <si>
    <t xml:space="preserve">2TV24SP</t>
  </si>
  <si>
    <t xml:space="preserve">XL-100 SM CABUL</t>
  </si>
  <si>
    <t xml:space="preserve">2TV31AC</t>
  </si>
  <si>
    <t xml:space="preserve">XL-100 ACC CABUL</t>
  </si>
  <si>
    <t xml:space="preserve">2TV31FB</t>
  </si>
  <si>
    <t xml:space="preserve">XL-100 FRONT BRAKE CABUL</t>
  </si>
  <si>
    <t xml:space="preserve">2TV31RB</t>
  </si>
  <si>
    <t xml:space="preserve">XL-100 REAR BRAKE CABUL</t>
  </si>
  <si>
    <t xml:space="preserve">2TV35AC</t>
  </si>
  <si>
    <t xml:space="preserve">ACCEL CABLE XL-100 BA-6</t>
  </si>
  <si>
    <t xml:space="preserve">2TV35FBL</t>
  </si>
  <si>
    <t xml:space="preserve">FRONT BRAKE CABLE XL-100 4S LH</t>
  </si>
  <si>
    <t xml:space="preserve">2TV35FBR</t>
  </si>
  <si>
    <t xml:space="preserve">FRONT BRAKE CABLE XL-100 4S RH</t>
  </si>
  <si>
    <t xml:space="preserve">2TV35RB</t>
  </si>
  <si>
    <t xml:space="preserve">XL-1004S REAR BRAKE</t>
  </si>
  <si>
    <t xml:space="preserve">SGI GASKETS</t>
  </si>
  <si>
    <t xml:space="preserve">ACT0011002</t>
  </si>
  <si>
    <t xml:space="preserve">GEAR BOX PACKING ACTIVA</t>
  </si>
  <si>
    <t xml:space="preserve">84841090</t>
  </si>
  <si>
    <t xml:space="preserve">ACT0011604</t>
  </si>
  <si>
    <t xml:space="preserve">HALF SET ACTIVA 6G BS6</t>
  </si>
  <si>
    <t xml:space="preserve">EX0011003</t>
  </si>
  <si>
    <t xml:space="preserve">CLUTCH COVER SPLDR</t>
  </si>
  <si>
    <t xml:space="preserve">GL0011002</t>
  </si>
  <si>
    <t xml:space="preserve">GLAMOUR MAGNET COVER PEKING</t>
  </si>
  <si>
    <t xml:space="preserve">GL0011004</t>
  </si>
  <si>
    <t xml:space="preserve">GLAMOUE HALF SET</t>
  </si>
  <si>
    <t xml:space="preserve">GL0011005</t>
  </si>
  <si>
    <t xml:space="preserve">PACKING KIT GLAMOUR</t>
  </si>
  <si>
    <t xml:space="preserve">SET</t>
  </si>
  <si>
    <t xml:space="preserve">HET0011004</t>
  </si>
  <si>
    <t xml:space="preserve">ACTIVA 3G 4G HALF SET</t>
  </si>
  <si>
    <t xml:space="preserve">HHS0011001</t>
  </si>
  <si>
    <t xml:space="preserve">HH FULL SET</t>
  </si>
  <si>
    <t xml:space="preserve">HHS0011605</t>
  </si>
  <si>
    <t xml:space="preserve">HF SPL FULL SET BS6</t>
  </si>
  <si>
    <t xml:space="preserve">HP0011102</t>
  </si>
  <si>
    <t xml:space="preserve">MAGNET COVER PEKIBG HF DELUX</t>
  </si>
  <si>
    <t xml:space="preserve">HP0011105</t>
  </si>
  <si>
    <t xml:space="preserve">PASSION PRO FULL KIT</t>
  </si>
  <si>
    <t xml:space="preserve">PT0022105</t>
  </si>
  <si>
    <t xml:space="preserve">PLATINA 100 ES FULL KIT</t>
  </si>
  <si>
    <t xml:space="preserve">PUL0022004</t>
  </si>
  <si>
    <t xml:space="preserve">PULSAR 150CC HALF SET</t>
  </si>
  <si>
    <t xml:space="preserve">PUL0022005</t>
  </si>
  <si>
    <t xml:space="preserve">PULSAR 150 CC FULL KIT</t>
  </si>
  <si>
    <t xml:space="preserve">SH0011002</t>
  </si>
  <si>
    <t xml:space="preserve">SHINE/UNICORN MAGNET COVER PEKING</t>
  </si>
  <si>
    <t xml:space="preserve">SH0011003</t>
  </si>
  <si>
    <t xml:space="preserve">SHINE/UNICORN CLUTCH COVER PENKING</t>
  </si>
  <si>
    <t xml:space="preserve">SH0011004</t>
  </si>
  <si>
    <t xml:space="preserve">SHINE HALE SET</t>
  </si>
  <si>
    <t xml:space="preserve">PCS</t>
  </si>
  <si>
    <t xml:space="preserve">SH0011005</t>
  </si>
  <si>
    <t xml:space="preserve">SHINE FULL KIT</t>
  </si>
  <si>
    <t xml:space="preserve">SEY</t>
  </si>
  <si>
    <t xml:space="preserve">SS0044104</t>
  </si>
  <si>
    <t xml:space="preserve">ACCESS 125 CC N/M HALF SET</t>
  </si>
  <si>
    <t xml:space="preserve">UM0011004</t>
  </si>
  <si>
    <t xml:space="preserve">HALF SET UNICORN/XTREM</t>
  </si>
  <si>
    <t xml:space="preserve">UM0011005</t>
  </si>
  <si>
    <t xml:space="preserve">UNICORN CBZ X FULL KIT</t>
  </si>
  <si>
    <t xml:space="preserve">XL0033003</t>
  </si>
  <si>
    <t xml:space="preserve">XL HD CLUCH COVER PEKING</t>
  </si>
  <si>
    <t xml:space="preserve">XL0033005</t>
  </si>
  <si>
    <t xml:space="preserve">XL SUPER PEKING KIT</t>
  </si>
  <si>
    <t xml:space="preserve">XL0033103</t>
  </si>
  <si>
    <t xml:space="preserve">CLUCH COVER PEKING XL-100 CC</t>
  </si>
  <si>
    <t xml:space="preserve">XL0033104</t>
  </si>
  <si>
    <t xml:space="preserve">XL-100 BS6 HALF SET</t>
  </si>
  <si>
    <t xml:space="preserve">XL0033105</t>
  </si>
  <si>
    <t xml:space="preserve">XL 100 FILL KIT</t>
  </si>
  <si>
    <t xml:space="preserve">XL0033605</t>
  </si>
  <si>
    <t xml:space="preserve">XL-100 BS6 FULL SET</t>
  </si>
  <si>
    <t xml:space="preserve">LUMAX IND</t>
  </si>
  <si>
    <t xml:space="preserve">216-BLA-GF</t>
  </si>
  <si>
    <t xml:space="preserve">GLAMORE GFI IND SET</t>
  </si>
  <si>
    <t xml:space="preserve">216-BLA-HC</t>
  </si>
  <si>
    <t xml:space="preserve">HUNK IND SET</t>
  </si>
  <si>
    <t xml:space="preserve">216-BLA-SP</t>
  </si>
  <si>
    <t xml:space="preserve">SPLENDER PRO IND SET</t>
  </si>
  <si>
    <t xml:space="preserve">219-BLA-PP</t>
  </si>
  <si>
    <t xml:space="preserve">PASSION PLUS IND SET</t>
  </si>
  <si>
    <t xml:space="preserve">IND SET P PRO N/M UNIVERSAL</t>
  </si>
  <si>
    <t xml:space="preserve">219-BLA-PR</t>
  </si>
  <si>
    <t xml:space="preserve">PASSION PRO IND SET</t>
  </si>
  <si>
    <t xml:space="preserve">219-BLA-SP</t>
  </si>
  <si>
    <t xml:space="preserve">SPLENDOR PLUS IND SET</t>
  </si>
  <si>
    <t xml:space="preserve">219-SVM-PP</t>
  </si>
  <si>
    <t xml:space="preserve">SVM PSSN PRO BLCK LH</t>
  </si>
  <si>
    <t xml:space="preserve">SVM PSSN PRO BLCK RH</t>
  </si>
  <si>
    <t xml:space="preserve">239-SVM-N-</t>
  </si>
  <si>
    <t xml:space="preserve">ACTIVA NEW SVM LHS</t>
  </si>
  <si>
    <t xml:space="preserve">ACTIVA NEW SVM RHS</t>
  </si>
  <si>
    <t xml:space="preserve">246-SVM-DT</t>
  </si>
  <si>
    <t xml:space="preserve">PULSAR DTSI SVM LHS</t>
  </si>
  <si>
    <t xml:space="preserve">248-SVM-DT</t>
  </si>
  <si>
    <t xml:space="preserve">PULSAR DTSI SVM RHS</t>
  </si>
  <si>
    <t xml:space="preserve">254-BLA-CU</t>
  </si>
  <si>
    <t xml:space="preserve">PLATINA IND SET WHITE</t>
  </si>
  <si>
    <t xml:space="preserve">260-BLA</t>
  </si>
  <si>
    <t xml:space="preserve">SHINE IND SET</t>
  </si>
  <si>
    <t xml:space="preserve">261-SVM-DL</t>
  </si>
  <si>
    <t xml:space="preserve">SVM SHIN DRM YG LH</t>
  </si>
  <si>
    <t xml:space="preserve">261-SVM-DR</t>
  </si>
  <si>
    <t xml:space="preserve">SVM SHIN DRM YG RH</t>
  </si>
  <si>
    <t xml:space="preserve">CAMP</t>
  </si>
  <si>
    <t xml:space="preserve">CA15-SBP-1</t>
  </si>
  <si>
    <t xml:space="preserve">BEND PIPE GLM</t>
  </si>
  <si>
    <t xml:space="preserve">87141090</t>
  </si>
  <si>
    <t xml:space="preserve">MUD</t>
  </si>
  <si>
    <t xml:space="preserve">MUD-01</t>
  </si>
  <si>
    <t xml:space="preserve">ACTIVA F MUDCAR WHITE 3G</t>
  </si>
  <si>
    <t xml:space="preserve">8714</t>
  </si>
  <si>
    <t xml:space="preserve">MUD-01A</t>
  </si>
  <si>
    <t xml:space="preserve">ACTIVA F MUDCAR 6G WHITE</t>
  </si>
  <si>
    <t xml:space="preserve">MUD-01A RE</t>
  </si>
  <si>
    <t xml:space="preserve">ACTIVA F MUDCAR 6G BALCK</t>
  </si>
  <si>
    <t xml:space="preserve">MUD-01AA</t>
  </si>
  <si>
    <t xml:space="preserve">ACTIVA F MUDCAR GREY 3G</t>
  </si>
  <si>
    <t xml:space="preserve">MUD-03BL</t>
  </si>
  <si>
    <t xml:space="preserve">ACTIVA F MUDCAR 3G BLUE</t>
  </si>
  <si>
    <t xml:space="preserve">BHARATH IND</t>
  </si>
  <si>
    <t xml:space="preserve">PL-1519ABS</t>
  </si>
  <si>
    <t xml:space="preserve">IND SET PSN PRO N/M BS6 UNI</t>
  </si>
  <si>
    <t xml:space="preserve">PL-1526QXP</t>
  </si>
  <si>
    <t xml:space="preserve">PLTN IND SET RED</t>
  </si>
  <si>
    <t xml:space="preserve">PL-M03L</t>
  </si>
  <si>
    <t xml:space="preserve">MIRROR SPL PLUS LHS</t>
  </si>
  <si>
    <t xml:space="preserve">PL-M03R</t>
  </si>
  <si>
    <t xml:space="preserve">MIRROR SPL PLUS RHS</t>
  </si>
  <si>
    <t xml:space="preserve">TOTAL</t>
  </si>
  <si>
    <t xml:space="preserve">105 line items</t>
  </si>
  <si>
    <t xml:space="preserve">PRICING RULE, holds on all 105 lines: Taxable Amount = ROUND(Rate x Qty / 1.18, 2). Rate is M.R.P less the brand-group discount in column J. Column S recomputes it, column T is the difference - 0.00 on every row.</t>
  </si>
  <si>
    <t xml:space="preserve">INVENTORY: use the orange 'Cost per unit' column for stock valuation, not Rate. Rate is per unit before the GST split; the cost you bear is the line's taxable amount divided by quantity.</t>
  </si>
  <si>
    <t xml:space="preserve">VERIFICATION: all 105 rows have been confirmed field-by-field against legible images of all four pages. Corrections applied: Sn 53 unit SET -&gt; PC; Sn 68 description SHINE HALF SET -&gt; SHINE HALE SET (the seller's own typo); Sn 94 and 95 description SM -&gt; SVM. In addition the invoice's 18 brand-group checkpoints (Gross and Net for each of 9 groups) all reconcile exactly, quantity 679 matches, and every line satisfies Taxable = Rate x Qty / 1.18.</t>
  </si>
  <si>
    <t xml:space="preserve">ONE UNRESOLVED CHARACTER: Sn 2 item code. The scan renders it as NAQ001, but every one of the 105 codes on this invoice sorts in ascending order within its brand group, and NAQ001 would break that (it would fall after NAN122). NAJ001 fits the sort. The file keeps NAJ001 - please confirm the third character against the paper original.</t>
  </si>
  <si>
    <t xml:space="preserve">Sn 8 item code is partly obscured by a scan mark and was read as NAQ127 from the surrounding code sequence. Sn 97-101 (MUD) carry no printed discount - Rate equals M.R.P - and a 4-digit HSN of 8714.</t>
  </si>
  <si>
    <t xml:space="preserve">Brand-group reconciliation - 18 checkpoints</t>
  </si>
  <si>
    <t xml:space="preserve">The invoice prints Gross and Net for each brand group. Gross constrains M.R.P and Qty; Net constrains Rate and Qty. Two independent checks per group.</t>
  </si>
  <si>
    <t xml:space="preserve">Rows</t>
  </si>
  <si>
    <t xml:space="preserve">Gross printed</t>
  </si>
  <si>
    <t xml:space="preserve">Gross calc</t>
  </si>
  <si>
    <t xml:space="preserve">Net printed</t>
  </si>
  <si>
    <t xml:space="preserve">Net calc</t>
  </si>
  <si>
    <t xml:space="preserve">Row-level confidence</t>
  </si>
  <si>
    <t xml:space="preserve">All 18 rows confirmed vs image</t>
  </si>
  <si>
    <t xml:space="preserve">All 2 rows confirmed vs image</t>
  </si>
  <si>
    <t xml:space="preserve">All 1 rows confirmed vs image</t>
  </si>
  <si>
    <t xml:space="preserve">All 30 rows confirmed vs image</t>
  </si>
  <si>
    <t xml:space="preserve">All 27 rows confirmed vs image</t>
  </si>
  <si>
    <t xml:space="preserve">All 17 rows confirmed vs image</t>
  </si>
  <si>
    <t xml:space="preserve">All 5 rows confirmed vs image</t>
  </si>
  <si>
    <t xml:space="preserve">All 4 rows confirmed vs image</t>
  </si>
  <si>
    <t xml:space="preserve">TAX INVOICE - CREDIT</t>
  </si>
  <si>
    <t xml:space="preserve">Seller</t>
  </si>
  <si>
    <t xml:space="preserve">KUMAR AUTO STORES</t>
  </si>
  <si>
    <t xml:space="preserve">Seller Address</t>
  </si>
  <si>
    <t xml:space="preserve">D.NO.4-18/1 Garagaparru Road, Bhimavaram - 534 202</t>
  </si>
  <si>
    <t xml:space="preserve">Seller Phone</t>
  </si>
  <si>
    <t xml:space="preserve">9397111911</t>
  </si>
  <si>
    <t xml:space="preserve">Seller GSTIN</t>
  </si>
  <si>
    <t xml:space="preserve">37AITPG4383P1ZB</t>
  </si>
  <si>
    <t xml:space="preserve">Invoice No.</t>
  </si>
  <si>
    <t xml:space="preserve">5560GS</t>
  </si>
  <si>
    <t xml:space="preserve">Invoice Date</t>
  </si>
  <si>
    <t xml:space="preserve">6/03/2026</t>
  </si>
  <si>
    <t xml:space="preserve">Buyer Code</t>
  </si>
  <si>
    <t xml:space="preserve">02170</t>
  </si>
  <si>
    <t xml:space="preserve">Buyer</t>
  </si>
  <si>
    <t xml:space="preserve">SRI SRI SATYA SAI AUTMOBILE AGENC</t>
  </si>
  <si>
    <t xml:space="preserve">Buyer Address</t>
  </si>
  <si>
    <t xml:space="preserve">2-12-27/1, Railway Station Road, Tadepalligudem - 534101</t>
  </si>
  <si>
    <t xml:space="preserve">Buyer Phone</t>
  </si>
  <si>
    <t xml:space="preserve">CEL-9848725117</t>
  </si>
  <si>
    <t xml:space="preserve">Buyer GSTIN</t>
  </si>
  <si>
    <t xml:space="preserve">37CUJPG4763K1Z5</t>
  </si>
  <si>
    <t xml:space="preserve">Terms</t>
  </si>
  <si>
    <t xml:space="preserve">Subject to Bhimavaram jurisdiction. Goods once sold cannot be taken back or exchanged. E. &amp; O.E.</t>
  </si>
  <si>
    <t xml:space="preserve">Supplier type</t>
  </si>
  <si>
    <t xml:space="preserve">Aftermarket - 9 brand groups: NV, Silverup, Rolan, Remsons, SGI Gaskets, Lumax Ind, Camp, Mud, Bharath Ind</t>
  </si>
  <si>
    <t xml:space="preserve">Note on codes</t>
  </si>
  <si>
    <t xml:space="preserve">Codes are Kumar's own brand-group codes, NOT Honda part numbers. They do not join to the Kokila or Gayatri item codes.</t>
  </si>
  <si>
    <t xml:space="preserve">TOTALS</t>
  </si>
  <si>
    <t xml:space="preserve">Printed</t>
  </si>
  <si>
    <t xml:space="preserve">Recalculated</t>
  </si>
  <si>
    <t xml:space="preserve">Total Quantity</t>
  </si>
  <si>
    <t xml:space="preserve">Sub Total (Taxable)</t>
  </si>
  <si>
    <t xml:space="preserve">CGST Amount @ 9%</t>
  </si>
  <si>
    <t xml:space="preserve">SGST Amount @ 9%</t>
  </si>
  <si>
    <t xml:space="preserve">Rounding off</t>
  </si>
  <si>
    <t xml:space="preserve">—</t>
  </si>
  <si>
    <t xml:space="preserve">NET AMOUNT</t>
  </si>
  <si>
    <t xml:space="preserve">Total Gross (MRP x Qty)</t>
  </si>
  <si>
    <t xml:space="preserve">not printed</t>
  </si>
  <si>
    <t xml:space="preserve">Amount in words</t>
  </si>
  <si>
    <t xml:space="preserve">Rs SIXTY SEVEN THOUSAND EIGHT HUNDRED THIRTEEN Only</t>
  </si>
  <si>
    <t xml:space="preserve">The seller charges CGST and SGST at 9% each on the invoice sub-total, not per line. 57,468.52 x 9% = 5,172.17; the invoice prints 5,172.18. Summing the 105 rounded per-line figures instead gives 5,171.91. Use the printed figures for GST filing.</t>
  </si>
  <si>
    <t xml:space="preserve">Footer inconsistency in the original: the 'GST SALES 18%' line reads 10,344.37, while the invoice's own CGST + SGST comes to 10,344.36 and a true 18% of the sub-total is 10,344.33. Three slightly different tax figures on one page. The Net Amount of 67,813.00 is unaffected.</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</si>
</sst>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b val="true"/>
      <sz val="13"/>
      <color rgb="FF1F3864"/>
      <name val="Arial"/>
      <family val="0"/>
      <charset val="1"/>
    </font>
    <font>
      <sz val="10"/>
      <color rgb="FF0000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C55A11"/>
        <bgColor rgb="FF993300"/>
      </patternFill>
    </fill>
    <fill>
      <patternFill patternType="solid">
        <fgColor rgb="FFFFF2E6"/>
        <bgColor rgb="FFFFF2CC"/>
      </patternFill>
    </fill>
    <fill>
      <patternFill patternType="solid">
        <fgColor rgb="FFE2EFDA"/>
        <bgColor rgb="FFFFF2E6"/>
      </patternFill>
    </fill>
    <fill>
      <patternFill patternType="solid">
        <fgColor rgb="FFFFE699"/>
        <bgColor rgb="FFFFF2CC"/>
      </patternFill>
    </fill>
    <fill>
      <patternFill patternType="solid">
        <fgColor rgb="FFFFF2CC"/>
        <bgColor rgb="FFFFF2E6"/>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6" fontId="5" fillId="0" borderId="1" xfId="0" applyFont="true" applyBorder="true" applyAlignment="true" applyProtection="true">
      <alignment horizontal="general" vertical="bottom" textRotation="0" wrapText="false" indent="0" shrinkToFit="false"/>
      <protection locked="true" hidden="false"/>
    </xf>
    <xf numFmtId="165" fontId="5" fillId="4" borderId="1" xfId="0" applyFont="true" applyBorder="true" applyAlignment="true" applyProtection="true">
      <alignment horizontal="general" vertical="bottom" textRotation="0" wrapText="false" indent="0" shrinkToFit="false"/>
      <protection locked="true" hidden="false"/>
    </xf>
    <xf numFmtId="164" fontId="5" fillId="5" borderId="1" xfId="0" applyFont="true" applyBorder="true" applyAlignment="true" applyProtection="true">
      <alignment horizontal="center" vertical="bottom" textRotation="0" wrapText="false" indent="0" shrinkToFit="false"/>
      <protection locked="true" hidden="false"/>
    </xf>
    <xf numFmtId="164" fontId="5" fillId="6" borderId="1" xfId="0" applyFont="true" applyBorder="true" applyAlignment="true" applyProtection="true">
      <alignment horizontal="center" vertical="bottom" textRotation="0" wrapText="false" indent="0" shrinkToFit="false"/>
      <protection locked="true" hidden="false"/>
    </xf>
    <xf numFmtId="164" fontId="6" fillId="7" borderId="1" xfId="0" applyFont="true" applyBorder="true" applyAlignment="true" applyProtection="true">
      <alignment horizontal="general" vertical="bottom" textRotation="0" wrapText="false" indent="0" shrinkToFit="false"/>
      <protection locked="true" hidden="false"/>
    </xf>
    <xf numFmtId="165" fontId="6" fillId="7" borderId="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9" fillId="0" borderId="1" xfId="0" applyFont="true" applyBorder="true" applyAlignment="true" applyProtection="true">
      <alignment horizontal="general" vertical="bottom" textRotation="0" wrapText="false" indent="0" shrinkToFit="false"/>
      <protection locked="true" hidden="false"/>
    </xf>
    <xf numFmtId="164" fontId="5" fillId="5"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55A11"/>
          <bgColor rgb="FF000000"/>
        </patternFill>
      </fill>
    </dxf>
    <dxf>
      <fill>
        <patternFill patternType="solid">
          <fgColor rgb="FFFFF2E6"/>
          <bgColor rgb="FF000000"/>
        </patternFill>
      </fill>
    </dxf>
    <dxf>
      <fill>
        <patternFill patternType="solid">
          <fgColor rgb="FFE2EFDA"/>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FF2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FCC99"/>
      <rgbColor rgb="FF3366FF"/>
      <rgbColor rgb="FF33CCCC"/>
      <rgbColor rgb="FF99CC00"/>
      <rgbColor rgb="FFFFCC00"/>
      <rgbColor rgb="FFFF9900"/>
      <rgbColor rgb="FFC55A11"/>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13"/>
    <col collapsed="false" customWidth="true" hidden="false" outlineLevel="0" max="4" min="4" style="1" width="40"/>
    <col collapsed="false" customWidth="true" hidden="false" outlineLevel="0" max="5" min="5" style="1" width="11"/>
    <col collapsed="false" customWidth="true" hidden="false" outlineLevel="0" max="7" min="6" style="1" width="10"/>
    <col collapsed="false" customWidth="true" hidden="false" outlineLevel="0" max="9" min="8" style="1" width="7"/>
    <col collapsed="false" customWidth="true" hidden="false" outlineLevel="0" max="10" min="10" style="1" width="8"/>
    <col collapsed="false" customWidth="true" hidden="false" outlineLevel="0" max="11" min="11" style="1" width="14"/>
    <col collapsed="false" customWidth="true" hidden="false" outlineLevel="0" max="12" min="12" style="1" width="8"/>
    <col collapsed="false" customWidth="true" hidden="false" outlineLevel="0" max="13" min="13" style="1" width="12"/>
    <col collapsed="false" customWidth="true" hidden="false" outlineLevel="0" max="14" min="14" style="1" width="8"/>
    <col collapsed="false" customWidth="true" hidden="false" outlineLevel="0" max="15" min="15" style="1" width="12"/>
    <col collapsed="false" customWidth="true" hidden="false" outlineLevel="0" max="16" min="16" style="1" width="13"/>
    <col collapsed="false" customWidth="true" hidden="false" outlineLevel="0" max="17" min="17" style="1" width="20"/>
    <col collapsed="false" customWidth="true" hidden="false" outlineLevel="0" max="18" min="18" style="1" width="17"/>
    <col collapsed="false" customWidth="true" hidden="false" outlineLevel="0" max="19" min="19" style="1" width="22"/>
    <col collapsed="false" customWidth="true" hidden="false" outlineLevel="0" max="20" min="20" style="1" width="9"/>
    <col collapsed="false" customWidth="true" hidden="false" outlineLevel="0" max="21" min="21" style="1" width="7"/>
    <col collapsed="false" customWidth="true" hidden="false" outlineLevel="0" max="22" min="22" style="1" width="26"/>
  </cols>
  <sheetData>
    <row r="1" customFormat="false" ht="43.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c r="S1" s="2" t="s">
        <v>18</v>
      </c>
      <c r="T1" s="2" t="s">
        <v>19</v>
      </c>
      <c r="U1" s="2" t="s">
        <v>20</v>
      </c>
      <c r="V1" s="2" t="s">
        <v>21</v>
      </c>
    </row>
    <row r="2" customFormat="false" ht="15" hidden="false" customHeight="false" outlineLevel="0" collapsed="false">
      <c r="A2" s="4" t="n">
        <v>1</v>
      </c>
      <c r="B2" s="4" t="s">
        <v>22</v>
      </c>
      <c r="C2" s="4" t="s">
        <v>23</v>
      </c>
      <c r="D2" s="4" t="s">
        <v>24</v>
      </c>
      <c r="E2" s="5" t="s">
        <v>25</v>
      </c>
      <c r="F2" s="6" t="n">
        <v>160</v>
      </c>
      <c r="G2" s="6" t="n">
        <v>91.2</v>
      </c>
      <c r="H2" s="5" t="n">
        <v>4</v>
      </c>
      <c r="I2" s="5" t="s">
        <v>26</v>
      </c>
      <c r="J2" s="7" t="n">
        <v>0.43</v>
      </c>
      <c r="K2" s="6" t="n">
        <v>309.15</v>
      </c>
      <c r="L2" s="7" t="n">
        <v>0.09</v>
      </c>
      <c r="M2" s="6" t="n">
        <v>27.82</v>
      </c>
      <c r="N2" s="7" t="n">
        <v>0.09</v>
      </c>
      <c r="O2" s="6" t="n">
        <v>27.82</v>
      </c>
      <c r="P2" s="6" t="n">
        <f aca="false">K2+M2+O2</f>
        <v>364.79</v>
      </c>
      <c r="Q2" s="8" t="n">
        <f aca="false">ROUND(K2/H2,2)</f>
        <v>77.29</v>
      </c>
      <c r="R2" s="6" t="n">
        <f aca="false">F2*H2</f>
        <v>640</v>
      </c>
      <c r="S2" s="6" t="n">
        <f aca="false">ROUND(G2*H2/1.18,2)</f>
        <v>309.15</v>
      </c>
      <c r="T2" s="6" t="n">
        <f aca="false">ROUND(S2-K2,2)</f>
        <v>0</v>
      </c>
      <c r="U2" s="5" t="n">
        <v>1</v>
      </c>
      <c r="V2" s="9" t="s">
        <v>27</v>
      </c>
    </row>
    <row r="3" customFormat="false" ht="15" hidden="false" customHeight="false" outlineLevel="0" collapsed="false">
      <c r="A3" s="4" t="n">
        <v>2</v>
      </c>
      <c r="B3" s="4" t="s">
        <v>22</v>
      </c>
      <c r="C3" s="4" t="s">
        <v>28</v>
      </c>
      <c r="D3" s="4" t="s">
        <v>29</v>
      </c>
      <c r="E3" s="5" t="s">
        <v>25</v>
      </c>
      <c r="F3" s="6" t="n">
        <v>90</v>
      </c>
      <c r="G3" s="6" t="n">
        <v>51.3</v>
      </c>
      <c r="H3" s="5" t="n">
        <v>4</v>
      </c>
      <c r="I3" s="5"/>
      <c r="J3" s="7" t="n">
        <v>0.43</v>
      </c>
      <c r="K3" s="6" t="n">
        <v>173.9</v>
      </c>
      <c r="L3" s="7" t="n">
        <v>0.09</v>
      </c>
      <c r="M3" s="6" t="n">
        <v>15.65</v>
      </c>
      <c r="N3" s="7" t="n">
        <v>0.09</v>
      </c>
      <c r="O3" s="6" t="n">
        <v>15.65</v>
      </c>
      <c r="P3" s="6" t="n">
        <f aca="false">K3+M3+O3</f>
        <v>205.2</v>
      </c>
      <c r="Q3" s="8" t="n">
        <f aca="false">ROUND(K3/H3,2)</f>
        <v>43.48</v>
      </c>
      <c r="R3" s="6" t="n">
        <f aca="false">F3*H3</f>
        <v>360</v>
      </c>
      <c r="S3" s="6" t="n">
        <f aca="false">ROUND(G3*H3/1.18,2)</f>
        <v>173.9</v>
      </c>
      <c r="T3" s="6" t="n">
        <f aca="false">ROUND(S3-K3,2)</f>
        <v>0</v>
      </c>
      <c r="U3" s="5" t="n">
        <v>1</v>
      </c>
      <c r="V3" s="10" t="s">
        <v>30</v>
      </c>
    </row>
    <row r="4" customFormat="false" ht="15" hidden="false" customHeight="false" outlineLevel="0" collapsed="false">
      <c r="A4" s="4" t="n">
        <v>3</v>
      </c>
      <c r="B4" s="4" t="s">
        <v>22</v>
      </c>
      <c r="C4" s="4" t="s">
        <v>31</v>
      </c>
      <c r="D4" s="4" t="s">
        <v>32</v>
      </c>
      <c r="E4" s="5" t="s">
        <v>25</v>
      </c>
      <c r="F4" s="6" t="n">
        <v>665</v>
      </c>
      <c r="G4" s="6" t="n">
        <v>379.05</v>
      </c>
      <c r="H4" s="5" t="n">
        <v>2</v>
      </c>
      <c r="I4" s="5" t="s">
        <v>26</v>
      </c>
      <c r="J4" s="7" t="n">
        <v>0.43</v>
      </c>
      <c r="K4" s="6" t="n">
        <v>642.46</v>
      </c>
      <c r="L4" s="7" t="n">
        <v>0.09</v>
      </c>
      <c r="M4" s="6" t="n">
        <v>57.82</v>
      </c>
      <c r="N4" s="7" t="n">
        <v>0.09</v>
      </c>
      <c r="O4" s="6" t="n">
        <v>57.82</v>
      </c>
      <c r="P4" s="6" t="n">
        <f aca="false">K4+M4+O4</f>
        <v>758.1</v>
      </c>
      <c r="Q4" s="8" t="n">
        <f aca="false">ROUND(K4/H4,2)</f>
        <v>321.23</v>
      </c>
      <c r="R4" s="6" t="n">
        <f aca="false">F4*H4</f>
        <v>1330</v>
      </c>
      <c r="S4" s="6" t="n">
        <f aca="false">ROUND(G4*H4/1.18,2)</f>
        <v>642.46</v>
      </c>
      <c r="T4" s="6" t="n">
        <f aca="false">ROUND(S4-K4,2)</f>
        <v>0</v>
      </c>
      <c r="U4" s="5" t="n">
        <v>1</v>
      </c>
      <c r="V4" s="9" t="s">
        <v>27</v>
      </c>
    </row>
    <row r="5" customFormat="false" ht="15" hidden="false" customHeight="false" outlineLevel="0" collapsed="false">
      <c r="A5" s="4" t="n">
        <v>4</v>
      </c>
      <c r="B5" s="4" t="s">
        <v>22</v>
      </c>
      <c r="C5" s="4" t="s">
        <v>33</v>
      </c>
      <c r="D5" s="4" t="s">
        <v>34</v>
      </c>
      <c r="E5" s="5" t="s">
        <v>25</v>
      </c>
      <c r="F5" s="6" t="n">
        <v>335</v>
      </c>
      <c r="G5" s="6" t="n">
        <v>190.95</v>
      </c>
      <c r="H5" s="5" t="n">
        <v>2</v>
      </c>
      <c r="I5" s="5" t="s">
        <v>26</v>
      </c>
      <c r="J5" s="7" t="n">
        <v>0.43</v>
      </c>
      <c r="K5" s="6" t="n">
        <v>323.64</v>
      </c>
      <c r="L5" s="7" t="n">
        <v>0.09</v>
      </c>
      <c r="M5" s="6" t="n">
        <v>29.13</v>
      </c>
      <c r="N5" s="7" t="n">
        <v>0.09</v>
      </c>
      <c r="O5" s="6" t="n">
        <v>29.13</v>
      </c>
      <c r="P5" s="6" t="n">
        <f aca="false">K5+M5+O5</f>
        <v>381.9</v>
      </c>
      <c r="Q5" s="8" t="n">
        <f aca="false">ROUND(K5/H5,2)</f>
        <v>161.82</v>
      </c>
      <c r="R5" s="6" t="n">
        <f aca="false">F5*H5</f>
        <v>670</v>
      </c>
      <c r="S5" s="6" t="n">
        <f aca="false">ROUND(G5*H5/1.18,2)</f>
        <v>323.64</v>
      </c>
      <c r="T5" s="6" t="n">
        <f aca="false">ROUND(S5-K5,2)</f>
        <v>0</v>
      </c>
      <c r="U5" s="5" t="n">
        <v>1</v>
      </c>
      <c r="V5" s="9" t="s">
        <v>27</v>
      </c>
    </row>
    <row r="6" customFormat="false" ht="15" hidden="false" customHeight="false" outlineLevel="0" collapsed="false">
      <c r="A6" s="4" t="n">
        <v>5</v>
      </c>
      <c r="B6" s="4" t="s">
        <v>22</v>
      </c>
      <c r="C6" s="4" t="s">
        <v>35</v>
      </c>
      <c r="D6" s="4" t="s">
        <v>36</v>
      </c>
      <c r="E6" s="5" t="s">
        <v>25</v>
      </c>
      <c r="F6" s="6" t="n">
        <v>320</v>
      </c>
      <c r="G6" s="6" t="n">
        <v>182.4</v>
      </c>
      <c r="H6" s="5" t="n">
        <v>5</v>
      </c>
      <c r="I6" s="5" t="s">
        <v>26</v>
      </c>
      <c r="J6" s="7" t="n">
        <v>0.43</v>
      </c>
      <c r="K6" s="6" t="n">
        <v>772.88</v>
      </c>
      <c r="L6" s="7" t="n">
        <v>0.09</v>
      </c>
      <c r="M6" s="6" t="n">
        <v>69.56</v>
      </c>
      <c r="N6" s="7" t="n">
        <v>0.09</v>
      </c>
      <c r="O6" s="6" t="n">
        <v>69.56</v>
      </c>
      <c r="P6" s="6" t="n">
        <f aca="false">K6+M6+O6</f>
        <v>912</v>
      </c>
      <c r="Q6" s="8" t="n">
        <f aca="false">ROUND(K6/H6,2)</f>
        <v>154.58</v>
      </c>
      <c r="R6" s="6" t="n">
        <f aca="false">F6*H6</f>
        <v>1600</v>
      </c>
      <c r="S6" s="6" t="n">
        <f aca="false">ROUND(G6*H6/1.18,2)</f>
        <v>772.88</v>
      </c>
      <c r="T6" s="6" t="n">
        <f aca="false">ROUND(S6-K6,2)</f>
        <v>0</v>
      </c>
      <c r="U6" s="5" t="n">
        <v>1</v>
      </c>
      <c r="V6" s="9" t="s">
        <v>27</v>
      </c>
    </row>
    <row r="7" customFormat="false" ht="15" hidden="false" customHeight="false" outlineLevel="0" collapsed="false">
      <c r="A7" s="4" t="n">
        <v>6</v>
      </c>
      <c r="B7" s="4" t="s">
        <v>22</v>
      </c>
      <c r="C7" s="4" t="s">
        <v>37</v>
      </c>
      <c r="D7" s="4" t="s">
        <v>38</v>
      </c>
      <c r="E7" s="5" t="s">
        <v>25</v>
      </c>
      <c r="F7" s="6" t="n">
        <v>105</v>
      </c>
      <c r="G7" s="6" t="n">
        <v>59.85</v>
      </c>
      <c r="H7" s="5" t="n">
        <v>10</v>
      </c>
      <c r="I7" s="5" t="s">
        <v>26</v>
      </c>
      <c r="J7" s="7" t="n">
        <v>0.43</v>
      </c>
      <c r="K7" s="6" t="n">
        <v>507.2</v>
      </c>
      <c r="L7" s="7" t="n">
        <v>0.09</v>
      </c>
      <c r="M7" s="6" t="n">
        <v>45.65</v>
      </c>
      <c r="N7" s="7" t="n">
        <v>0.09</v>
      </c>
      <c r="O7" s="6" t="n">
        <v>45.65</v>
      </c>
      <c r="P7" s="6" t="n">
        <f aca="false">K7+M7+O7</f>
        <v>598.5</v>
      </c>
      <c r="Q7" s="8" t="n">
        <f aca="false">ROUND(K7/H7,2)</f>
        <v>50.72</v>
      </c>
      <c r="R7" s="6" t="n">
        <f aca="false">F7*H7</f>
        <v>1050</v>
      </c>
      <c r="S7" s="6" t="n">
        <f aca="false">ROUND(G7*H7/1.18,2)</f>
        <v>507.2</v>
      </c>
      <c r="T7" s="6" t="n">
        <f aca="false">ROUND(S7-K7,2)</f>
        <v>0</v>
      </c>
      <c r="U7" s="5" t="n">
        <v>1</v>
      </c>
      <c r="V7" s="9" t="s">
        <v>27</v>
      </c>
    </row>
    <row r="8" customFormat="false" ht="15" hidden="false" customHeight="false" outlineLevel="0" collapsed="false">
      <c r="A8" s="4" t="n">
        <v>7</v>
      </c>
      <c r="B8" s="4" t="s">
        <v>22</v>
      </c>
      <c r="C8" s="4" t="s">
        <v>39</v>
      </c>
      <c r="D8" s="4" t="s">
        <v>40</v>
      </c>
      <c r="E8" s="5" t="s">
        <v>25</v>
      </c>
      <c r="F8" s="6" t="n">
        <v>360</v>
      </c>
      <c r="G8" s="6" t="n">
        <v>205.2</v>
      </c>
      <c r="H8" s="5" t="n">
        <v>3</v>
      </c>
      <c r="I8" s="5" t="s">
        <v>26</v>
      </c>
      <c r="J8" s="7" t="n">
        <v>0.43</v>
      </c>
      <c r="K8" s="6" t="n">
        <v>521.69</v>
      </c>
      <c r="L8" s="7" t="n">
        <v>0.09</v>
      </c>
      <c r="M8" s="6" t="n">
        <v>46.95</v>
      </c>
      <c r="N8" s="7" t="n">
        <v>0.09</v>
      </c>
      <c r="O8" s="6" t="n">
        <v>46.95</v>
      </c>
      <c r="P8" s="6" t="n">
        <f aca="false">K8+M8+O8</f>
        <v>615.59</v>
      </c>
      <c r="Q8" s="8" t="n">
        <f aca="false">ROUND(K8/H8,2)</f>
        <v>173.9</v>
      </c>
      <c r="R8" s="6" t="n">
        <f aca="false">F8*H8</f>
        <v>1080</v>
      </c>
      <c r="S8" s="6" t="n">
        <f aca="false">ROUND(G8*H8/1.18,2)</f>
        <v>521.69</v>
      </c>
      <c r="T8" s="6" t="n">
        <f aca="false">ROUND(S8-K8,2)</f>
        <v>0</v>
      </c>
      <c r="U8" s="5" t="n">
        <v>1</v>
      </c>
      <c r="V8" s="9" t="s">
        <v>27</v>
      </c>
    </row>
    <row r="9" customFormat="false" ht="15" hidden="false" customHeight="false" outlineLevel="0" collapsed="false">
      <c r="A9" s="4" t="n">
        <v>8</v>
      </c>
      <c r="B9" s="4" t="s">
        <v>22</v>
      </c>
      <c r="C9" s="4" t="s">
        <v>41</v>
      </c>
      <c r="D9" s="4" t="s">
        <v>42</v>
      </c>
      <c r="E9" s="5" t="s">
        <v>25</v>
      </c>
      <c r="F9" s="6" t="n">
        <v>16</v>
      </c>
      <c r="G9" s="6" t="n">
        <v>9.12</v>
      </c>
      <c r="H9" s="5" t="n">
        <v>10</v>
      </c>
      <c r="I9" s="5" t="s">
        <v>26</v>
      </c>
      <c r="J9" s="7" t="n">
        <v>0.43</v>
      </c>
      <c r="K9" s="6" t="n">
        <v>77.29</v>
      </c>
      <c r="L9" s="7" t="n">
        <v>0.09</v>
      </c>
      <c r="M9" s="6" t="n">
        <v>6.95</v>
      </c>
      <c r="N9" s="7" t="n">
        <v>0.09</v>
      </c>
      <c r="O9" s="6" t="n">
        <v>6.95</v>
      </c>
      <c r="P9" s="6" t="n">
        <f aca="false">K9+M9+O9</f>
        <v>91.19</v>
      </c>
      <c r="Q9" s="8" t="n">
        <f aca="false">ROUND(K9/H9,2)</f>
        <v>7.73</v>
      </c>
      <c r="R9" s="6" t="n">
        <f aca="false">F9*H9</f>
        <v>160</v>
      </c>
      <c r="S9" s="6" t="n">
        <f aca="false">ROUND(G9*H9/1.18,2)</f>
        <v>77.29</v>
      </c>
      <c r="T9" s="6" t="n">
        <f aca="false">ROUND(S9-K9,2)</f>
        <v>0</v>
      </c>
      <c r="U9" s="5" t="n">
        <v>1</v>
      </c>
      <c r="V9" s="9" t="s">
        <v>27</v>
      </c>
    </row>
    <row r="10" customFormat="false" ht="15" hidden="false" customHeight="false" outlineLevel="0" collapsed="false">
      <c r="A10" s="4" t="n">
        <v>9</v>
      </c>
      <c r="B10" s="4" t="s">
        <v>22</v>
      </c>
      <c r="C10" s="4" t="s">
        <v>43</v>
      </c>
      <c r="D10" s="4" t="s">
        <v>44</v>
      </c>
      <c r="E10" s="5" t="s">
        <v>25</v>
      </c>
      <c r="F10" s="6" t="n">
        <v>110</v>
      </c>
      <c r="G10" s="6" t="n">
        <v>62.7</v>
      </c>
      <c r="H10" s="5" t="n">
        <v>5</v>
      </c>
      <c r="I10" s="5" t="s">
        <v>26</v>
      </c>
      <c r="J10" s="7" t="n">
        <v>0.43</v>
      </c>
      <c r="K10" s="6" t="n">
        <v>265.68</v>
      </c>
      <c r="L10" s="7" t="n">
        <v>0.09</v>
      </c>
      <c r="M10" s="6" t="n">
        <v>23.91</v>
      </c>
      <c r="N10" s="7" t="n">
        <v>0.09</v>
      </c>
      <c r="O10" s="6" t="n">
        <v>23.91</v>
      </c>
      <c r="P10" s="6" t="n">
        <f aca="false">K10+M10+O10</f>
        <v>313.5</v>
      </c>
      <c r="Q10" s="8" t="n">
        <f aca="false">ROUND(K10/H10,2)</f>
        <v>53.14</v>
      </c>
      <c r="R10" s="6" t="n">
        <f aca="false">F10*H10</f>
        <v>550</v>
      </c>
      <c r="S10" s="6" t="n">
        <f aca="false">ROUND(G10*H10/1.18,2)</f>
        <v>265.68</v>
      </c>
      <c r="T10" s="6" t="n">
        <f aca="false">ROUND(S10-K10,2)</f>
        <v>0</v>
      </c>
      <c r="U10" s="5" t="n">
        <v>1</v>
      </c>
      <c r="V10" s="9" t="s">
        <v>27</v>
      </c>
    </row>
    <row r="11" customFormat="false" ht="15" hidden="false" customHeight="false" outlineLevel="0" collapsed="false">
      <c r="A11" s="4" t="n">
        <v>10</v>
      </c>
      <c r="B11" s="4" t="s">
        <v>22</v>
      </c>
      <c r="C11" s="4" t="s">
        <v>45</v>
      </c>
      <c r="D11" s="4" t="s">
        <v>46</v>
      </c>
      <c r="E11" s="5" t="s">
        <v>25</v>
      </c>
      <c r="F11" s="6" t="n">
        <v>70</v>
      </c>
      <c r="G11" s="6" t="n">
        <v>39.9</v>
      </c>
      <c r="H11" s="5" t="n">
        <v>5</v>
      </c>
      <c r="I11" s="5" t="s">
        <v>26</v>
      </c>
      <c r="J11" s="7" t="n">
        <v>0.43</v>
      </c>
      <c r="K11" s="6" t="n">
        <v>169.07</v>
      </c>
      <c r="L11" s="7" t="n">
        <v>0.09</v>
      </c>
      <c r="M11" s="6" t="n">
        <v>15.21</v>
      </c>
      <c r="N11" s="7" t="n">
        <v>0.09</v>
      </c>
      <c r="O11" s="6" t="n">
        <v>15.21</v>
      </c>
      <c r="P11" s="6" t="n">
        <f aca="false">K11+M11+O11</f>
        <v>199.49</v>
      </c>
      <c r="Q11" s="8" t="n">
        <f aca="false">ROUND(K11/H11,2)</f>
        <v>33.81</v>
      </c>
      <c r="R11" s="6" t="n">
        <f aca="false">F11*H11</f>
        <v>350</v>
      </c>
      <c r="S11" s="6" t="n">
        <f aca="false">ROUND(G11*H11/1.18,2)</f>
        <v>169.07</v>
      </c>
      <c r="T11" s="6" t="n">
        <f aca="false">ROUND(S11-K11,2)</f>
        <v>0</v>
      </c>
      <c r="U11" s="5" t="n">
        <v>1</v>
      </c>
      <c r="V11" s="9" t="s">
        <v>27</v>
      </c>
    </row>
    <row r="12" customFormat="false" ht="15" hidden="false" customHeight="false" outlineLevel="0" collapsed="false">
      <c r="A12" s="4" t="n">
        <v>11</v>
      </c>
      <c r="B12" s="4" t="s">
        <v>22</v>
      </c>
      <c r="C12" s="4" t="s">
        <v>47</v>
      </c>
      <c r="D12" s="4" t="s">
        <v>48</v>
      </c>
      <c r="E12" s="5" t="s">
        <v>25</v>
      </c>
      <c r="F12" s="6" t="n">
        <v>70</v>
      </c>
      <c r="G12" s="6" t="n">
        <v>39.9</v>
      </c>
      <c r="H12" s="5" t="n">
        <v>5</v>
      </c>
      <c r="I12" s="5" t="s">
        <v>26</v>
      </c>
      <c r="J12" s="7" t="n">
        <v>0.43</v>
      </c>
      <c r="K12" s="6" t="n">
        <v>169.07</v>
      </c>
      <c r="L12" s="7" t="n">
        <v>0.09</v>
      </c>
      <c r="M12" s="6" t="n">
        <v>15.21</v>
      </c>
      <c r="N12" s="7" t="n">
        <v>0.09</v>
      </c>
      <c r="O12" s="6" t="n">
        <v>15.21</v>
      </c>
      <c r="P12" s="6" t="n">
        <f aca="false">K12+M12+O12</f>
        <v>199.49</v>
      </c>
      <c r="Q12" s="8" t="n">
        <f aca="false">ROUND(K12/H12,2)</f>
        <v>33.81</v>
      </c>
      <c r="R12" s="6" t="n">
        <f aca="false">F12*H12</f>
        <v>350</v>
      </c>
      <c r="S12" s="6" t="n">
        <f aca="false">ROUND(G12*H12/1.18,2)</f>
        <v>169.07</v>
      </c>
      <c r="T12" s="6" t="n">
        <f aca="false">ROUND(S12-K12,2)</f>
        <v>0</v>
      </c>
      <c r="U12" s="5" t="n">
        <v>1</v>
      </c>
      <c r="V12" s="9" t="s">
        <v>27</v>
      </c>
    </row>
    <row r="13" customFormat="false" ht="15" hidden="false" customHeight="false" outlineLevel="0" collapsed="false">
      <c r="A13" s="4" t="n">
        <v>12</v>
      </c>
      <c r="B13" s="4" t="s">
        <v>22</v>
      </c>
      <c r="C13" s="4" t="s">
        <v>49</v>
      </c>
      <c r="D13" s="4" t="s">
        <v>50</v>
      </c>
      <c r="E13" s="5" t="s">
        <v>25</v>
      </c>
      <c r="F13" s="6" t="n">
        <v>120</v>
      </c>
      <c r="G13" s="6" t="n">
        <v>68.4</v>
      </c>
      <c r="H13" s="5" t="n">
        <v>6</v>
      </c>
      <c r="I13" s="5" t="s">
        <v>26</v>
      </c>
      <c r="J13" s="7" t="n">
        <v>0.43</v>
      </c>
      <c r="K13" s="6" t="n">
        <v>347.8</v>
      </c>
      <c r="L13" s="7" t="n">
        <v>0.09</v>
      </c>
      <c r="M13" s="6" t="n">
        <v>31.3</v>
      </c>
      <c r="N13" s="7" t="n">
        <v>0.09</v>
      </c>
      <c r="O13" s="6" t="n">
        <v>31.3</v>
      </c>
      <c r="P13" s="6" t="n">
        <f aca="false">K13+M13+O13</f>
        <v>410.4</v>
      </c>
      <c r="Q13" s="8" t="n">
        <f aca="false">ROUND(K13/H13,2)</f>
        <v>57.97</v>
      </c>
      <c r="R13" s="6" t="n">
        <f aca="false">F13*H13</f>
        <v>720</v>
      </c>
      <c r="S13" s="6" t="n">
        <f aca="false">ROUND(G13*H13/1.18,2)</f>
        <v>347.8</v>
      </c>
      <c r="T13" s="6" t="n">
        <f aca="false">ROUND(S13-K13,2)</f>
        <v>0</v>
      </c>
      <c r="U13" s="5" t="n">
        <v>1</v>
      </c>
      <c r="V13" s="9" t="s">
        <v>27</v>
      </c>
    </row>
    <row r="14" customFormat="false" ht="15" hidden="false" customHeight="false" outlineLevel="0" collapsed="false">
      <c r="A14" s="4" t="n">
        <v>13</v>
      </c>
      <c r="B14" s="4" t="s">
        <v>22</v>
      </c>
      <c r="C14" s="4" t="s">
        <v>51</v>
      </c>
      <c r="D14" s="4" t="s">
        <v>52</v>
      </c>
      <c r="E14" s="5" t="s">
        <v>25</v>
      </c>
      <c r="F14" s="6" t="n">
        <v>30</v>
      </c>
      <c r="G14" s="6" t="n">
        <v>17.1</v>
      </c>
      <c r="H14" s="5" t="n">
        <v>5</v>
      </c>
      <c r="I14" s="5" t="s">
        <v>26</v>
      </c>
      <c r="J14" s="7" t="n">
        <v>0.43</v>
      </c>
      <c r="K14" s="6" t="n">
        <v>72.46</v>
      </c>
      <c r="L14" s="7" t="n">
        <v>0.09</v>
      </c>
      <c r="M14" s="6" t="n">
        <v>6.52</v>
      </c>
      <c r="N14" s="7" t="n">
        <v>0.09</v>
      </c>
      <c r="O14" s="6" t="n">
        <v>6.52</v>
      </c>
      <c r="P14" s="6" t="n">
        <f aca="false">K14+M14+O14</f>
        <v>85.5</v>
      </c>
      <c r="Q14" s="8" t="n">
        <f aca="false">ROUND(K14/H14,2)</f>
        <v>14.49</v>
      </c>
      <c r="R14" s="6" t="n">
        <f aca="false">F14*H14</f>
        <v>150</v>
      </c>
      <c r="S14" s="6" t="n">
        <f aca="false">ROUND(G14*H14/1.18,2)</f>
        <v>72.46</v>
      </c>
      <c r="T14" s="6" t="n">
        <f aca="false">ROUND(S14-K14,2)</f>
        <v>0</v>
      </c>
      <c r="U14" s="5" t="n">
        <v>1</v>
      </c>
      <c r="V14" s="9" t="s">
        <v>27</v>
      </c>
    </row>
    <row r="15" customFormat="false" ht="15" hidden="false" customHeight="false" outlineLevel="0" collapsed="false">
      <c r="A15" s="4" t="n">
        <v>14</v>
      </c>
      <c r="B15" s="4" t="s">
        <v>22</v>
      </c>
      <c r="C15" s="4" t="s">
        <v>53</v>
      </c>
      <c r="D15" s="4" t="s">
        <v>54</v>
      </c>
      <c r="E15" s="5" t="s">
        <v>25</v>
      </c>
      <c r="F15" s="6" t="n">
        <v>259</v>
      </c>
      <c r="G15" s="6" t="n">
        <v>147.63</v>
      </c>
      <c r="H15" s="5" t="n">
        <v>3</v>
      </c>
      <c r="I15" s="5" t="s">
        <v>26</v>
      </c>
      <c r="J15" s="7" t="n">
        <v>0.43</v>
      </c>
      <c r="K15" s="6" t="n">
        <v>375.33</v>
      </c>
      <c r="L15" s="7" t="n">
        <v>0.09</v>
      </c>
      <c r="M15" s="6" t="n">
        <v>33.78</v>
      </c>
      <c r="N15" s="7" t="n">
        <v>0.09</v>
      </c>
      <c r="O15" s="6" t="n">
        <v>33.78</v>
      </c>
      <c r="P15" s="6" t="n">
        <f aca="false">K15+M15+O15</f>
        <v>442.89</v>
      </c>
      <c r="Q15" s="8" t="n">
        <f aca="false">ROUND(K15/H15,2)</f>
        <v>125.11</v>
      </c>
      <c r="R15" s="6" t="n">
        <f aca="false">F15*H15</f>
        <v>777</v>
      </c>
      <c r="S15" s="6" t="n">
        <f aca="false">ROUND(G15*H15/1.18,2)</f>
        <v>375.33</v>
      </c>
      <c r="T15" s="6" t="n">
        <f aca="false">ROUND(S15-K15,2)</f>
        <v>0</v>
      </c>
      <c r="U15" s="5" t="n">
        <v>1</v>
      </c>
      <c r="V15" s="9" t="s">
        <v>27</v>
      </c>
    </row>
    <row r="16" customFormat="false" ht="15" hidden="false" customHeight="false" outlineLevel="0" collapsed="false">
      <c r="A16" s="4" t="n">
        <v>15</v>
      </c>
      <c r="B16" s="4" t="s">
        <v>22</v>
      </c>
      <c r="C16" s="4" t="s">
        <v>55</v>
      </c>
      <c r="D16" s="4" t="s">
        <v>56</v>
      </c>
      <c r="E16" s="5" t="s">
        <v>25</v>
      </c>
      <c r="F16" s="6" t="n">
        <v>205</v>
      </c>
      <c r="G16" s="6" t="n">
        <v>116.85</v>
      </c>
      <c r="H16" s="5" t="n">
        <v>6</v>
      </c>
      <c r="I16" s="5" t="s">
        <v>26</v>
      </c>
      <c r="J16" s="7" t="n">
        <v>0.43</v>
      </c>
      <c r="K16" s="6" t="n">
        <v>594.15</v>
      </c>
      <c r="L16" s="7" t="n">
        <v>0.09</v>
      </c>
      <c r="M16" s="6" t="n">
        <v>53.47</v>
      </c>
      <c r="N16" s="7" t="n">
        <v>0.09</v>
      </c>
      <c r="O16" s="6" t="n">
        <v>53.47</v>
      </c>
      <c r="P16" s="6" t="n">
        <f aca="false">K16+M16+O16</f>
        <v>701.09</v>
      </c>
      <c r="Q16" s="8" t="n">
        <f aca="false">ROUND(K16/H16,2)</f>
        <v>99.03</v>
      </c>
      <c r="R16" s="6" t="n">
        <f aca="false">F16*H16</f>
        <v>1230</v>
      </c>
      <c r="S16" s="6" t="n">
        <f aca="false">ROUND(G16*H16/1.18,2)</f>
        <v>594.15</v>
      </c>
      <c r="T16" s="6" t="n">
        <f aca="false">ROUND(S16-K16,2)</f>
        <v>0</v>
      </c>
      <c r="U16" s="5" t="n">
        <v>1</v>
      </c>
      <c r="V16" s="9" t="s">
        <v>27</v>
      </c>
    </row>
    <row r="17" customFormat="false" ht="15" hidden="false" customHeight="false" outlineLevel="0" collapsed="false">
      <c r="A17" s="4" t="n">
        <v>16</v>
      </c>
      <c r="B17" s="4" t="s">
        <v>22</v>
      </c>
      <c r="C17" s="4" t="s">
        <v>57</v>
      </c>
      <c r="D17" s="4" t="s">
        <v>58</v>
      </c>
      <c r="E17" s="5" t="s">
        <v>25</v>
      </c>
      <c r="F17" s="6" t="n">
        <v>72</v>
      </c>
      <c r="G17" s="6" t="n">
        <v>41.04</v>
      </c>
      <c r="H17" s="5" t="n">
        <v>5</v>
      </c>
      <c r="I17" s="5" t="s">
        <v>59</v>
      </c>
      <c r="J17" s="7" t="n">
        <v>0.43</v>
      </c>
      <c r="K17" s="6" t="n">
        <v>173.9</v>
      </c>
      <c r="L17" s="7" t="n">
        <v>0.09</v>
      </c>
      <c r="M17" s="6" t="n">
        <v>15.65</v>
      </c>
      <c r="N17" s="7" t="n">
        <v>0.09</v>
      </c>
      <c r="O17" s="6" t="n">
        <v>15.65</v>
      </c>
      <c r="P17" s="6" t="n">
        <f aca="false">K17+M17+O17</f>
        <v>205.2</v>
      </c>
      <c r="Q17" s="8" t="n">
        <f aca="false">ROUND(K17/H17,2)</f>
        <v>34.78</v>
      </c>
      <c r="R17" s="6" t="n">
        <f aca="false">F17*H17</f>
        <v>360</v>
      </c>
      <c r="S17" s="6" t="n">
        <f aca="false">ROUND(G17*H17/1.18,2)</f>
        <v>173.9</v>
      </c>
      <c r="T17" s="6" t="n">
        <f aca="false">ROUND(S17-K17,2)</f>
        <v>0</v>
      </c>
      <c r="U17" s="5" t="n">
        <v>1</v>
      </c>
      <c r="V17" s="9" t="s">
        <v>27</v>
      </c>
    </row>
    <row r="18" customFormat="false" ht="15" hidden="false" customHeight="false" outlineLevel="0" collapsed="false">
      <c r="A18" s="4" t="n">
        <v>17</v>
      </c>
      <c r="B18" s="4" t="s">
        <v>22</v>
      </c>
      <c r="C18" s="4" t="s">
        <v>60</v>
      </c>
      <c r="D18" s="4" t="s">
        <v>61</v>
      </c>
      <c r="E18" s="5" t="s">
        <v>25</v>
      </c>
      <c r="F18" s="6" t="n">
        <v>72</v>
      </c>
      <c r="G18" s="6" t="n">
        <v>41.04</v>
      </c>
      <c r="H18" s="5" t="n">
        <v>5</v>
      </c>
      <c r="I18" s="5" t="s">
        <v>26</v>
      </c>
      <c r="J18" s="7" t="n">
        <v>0.43</v>
      </c>
      <c r="K18" s="6" t="n">
        <v>173.9</v>
      </c>
      <c r="L18" s="7" t="n">
        <v>0.09</v>
      </c>
      <c r="M18" s="6" t="n">
        <v>15.65</v>
      </c>
      <c r="N18" s="7" t="n">
        <v>0.09</v>
      </c>
      <c r="O18" s="6" t="n">
        <v>15.65</v>
      </c>
      <c r="P18" s="6" t="n">
        <f aca="false">K18+M18+O18</f>
        <v>205.2</v>
      </c>
      <c r="Q18" s="8" t="n">
        <f aca="false">ROUND(K18/H18,2)</f>
        <v>34.78</v>
      </c>
      <c r="R18" s="6" t="n">
        <f aca="false">F18*H18</f>
        <v>360</v>
      </c>
      <c r="S18" s="6" t="n">
        <f aca="false">ROUND(G18*H18/1.18,2)</f>
        <v>173.9</v>
      </c>
      <c r="T18" s="6" t="n">
        <f aca="false">ROUND(S18-K18,2)</f>
        <v>0</v>
      </c>
      <c r="U18" s="5" t="n">
        <v>1</v>
      </c>
      <c r="V18" s="9" t="s">
        <v>27</v>
      </c>
    </row>
    <row r="19" customFormat="false" ht="15" hidden="false" customHeight="false" outlineLevel="0" collapsed="false">
      <c r="A19" s="4" t="n">
        <v>18</v>
      </c>
      <c r="B19" s="4" t="s">
        <v>22</v>
      </c>
      <c r="C19" s="4" t="s">
        <v>62</v>
      </c>
      <c r="D19" s="4" t="s">
        <v>63</v>
      </c>
      <c r="E19" s="5" t="s">
        <v>25</v>
      </c>
      <c r="F19" s="6" t="n">
        <v>290</v>
      </c>
      <c r="G19" s="6" t="n">
        <v>165.3</v>
      </c>
      <c r="H19" s="5" t="n">
        <v>2</v>
      </c>
      <c r="I19" s="5" t="s">
        <v>26</v>
      </c>
      <c r="J19" s="7" t="n">
        <v>0.43</v>
      </c>
      <c r="K19" s="6" t="n">
        <v>280.17</v>
      </c>
      <c r="L19" s="7" t="n">
        <v>0.09</v>
      </c>
      <c r="M19" s="6" t="n">
        <v>25.21</v>
      </c>
      <c r="N19" s="7" t="n">
        <v>0.09</v>
      </c>
      <c r="O19" s="6" t="n">
        <v>25.21</v>
      </c>
      <c r="P19" s="6" t="n">
        <f aca="false">K19+M19+O19</f>
        <v>330.59</v>
      </c>
      <c r="Q19" s="8" t="n">
        <f aca="false">ROUND(K19/H19,2)</f>
        <v>140.09</v>
      </c>
      <c r="R19" s="6" t="n">
        <f aca="false">F19*H19</f>
        <v>580</v>
      </c>
      <c r="S19" s="6" t="n">
        <f aca="false">ROUND(G19*H19/1.18,2)</f>
        <v>280.17</v>
      </c>
      <c r="T19" s="6" t="n">
        <f aca="false">ROUND(S19-K19,2)</f>
        <v>0</v>
      </c>
      <c r="U19" s="5" t="n">
        <v>1</v>
      </c>
      <c r="V19" s="9" t="s">
        <v>27</v>
      </c>
    </row>
    <row r="20" customFormat="false" ht="15" hidden="false" customHeight="false" outlineLevel="0" collapsed="false">
      <c r="A20" s="4" t="n">
        <v>19</v>
      </c>
      <c r="B20" s="4" t="s">
        <v>64</v>
      </c>
      <c r="C20" s="4" t="s">
        <v>65</v>
      </c>
      <c r="D20" s="4" t="s">
        <v>66</v>
      </c>
      <c r="E20" s="5" t="s">
        <v>67</v>
      </c>
      <c r="F20" s="6" t="n">
        <v>490</v>
      </c>
      <c r="G20" s="6" t="n">
        <v>303.8</v>
      </c>
      <c r="H20" s="5" t="n">
        <v>2</v>
      </c>
      <c r="I20" s="5" t="s">
        <v>26</v>
      </c>
      <c r="J20" s="7" t="n">
        <v>0.38</v>
      </c>
      <c r="K20" s="6" t="n">
        <v>514.92</v>
      </c>
      <c r="L20" s="7" t="n">
        <v>0.09</v>
      </c>
      <c r="M20" s="6" t="n">
        <v>46.34</v>
      </c>
      <c r="N20" s="7" t="n">
        <v>0.09</v>
      </c>
      <c r="O20" s="6" t="n">
        <v>46.34</v>
      </c>
      <c r="P20" s="6" t="n">
        <f aca="false">K20+M20+O20</f>
        <v>607.6</v>
      </c>
      <c r="Q20" s="8" t="n">
        <f aca="false">ROUND(K20/H20,2)</f>
        <v>257.46</v>
      </c>
      <c r="R20" s="6" t="n">
        <f aca="false">F20*H20</f>
        <v>980</v>
      </c>
      <c r="S20" s="6" t="n">
        <f aca="false">ROUND(G20*H20/1.18,2)</f>
        <v>514.92</v>
      </c>
      <c r="T20" s="6" t="n">
        <f aca="false">ROUND(S20-K20,2)</f>
        <v>0</v>
      </c>
      <c r="U20" s="5" t="n">
        <v>1</v>
      </c>
      <c r="V20" s="9" t="s">
        <v>27</v>
      </c>
    </row>
    <row r="21" customFormat="false" ht="15" hidden="false" customHeight="false" outlineLevel="0" collapsed="false">
      <c r="A21" s="4" t="n">
        <v>20</v>
      </c>
      <c r="B21" s="4" t="s">
        <v>64</v>
      </c>
      <c r="C21" s="4" t="s">
        <v>68</v>
      </c>
      <c r="D21" s="4" t="s">
        <v>69</v>
      </c>
      <c r="E21" s="5" t="s">
        <v>67</v>
      </c>
      <c r="F21" s="6" t="n">
        <v>330</v>
      </c>
      <c r="G21" s="6" t="n">
        <v>204.6</v>
      </c>
      <c r="H21" s="5" t="n">
        <v>2</v>
      </c>
      <c r="I21" s="5" t="s">
        <v>26</v>
      </c>
      <c r="J21" s="7" t="n">
        <v>0.38</v>
      </c>
      <c r="K21" s="6" t="n">
        <v>346.78</v>
      </c>
      <c r="L21" s="7" t="n">
        <v>0.09</v>
      </c>
      <c r="M21" s="6" t="n">
        <v>31.21</v>
      </c>
      <c r="N21" s="7" t="n">
        <v>0.09</v>
      </c>
      <c r="O21" s="6" t="n">
        <v>31.21</v>
      </c>
      <c r="P21" s="6" t="n">
        <f aca="false">K21+M21+O21</f>
        <v>409.2</v>
      </c>
      <c r="Q21" s="8" t="n">
        <f aca="false">ROUND(K21/H21,2)</f>
        <v>173.39</v>
      </c>
      <c r="R21" s="6" t="n">
        <f aca="false">F21*H21</f>
        <v>660</v>
      </c>
      <c r="S21" s="6" t="n">
        <f aca="false">ROUND(G21*H21/1.18,2)</f>
        <v>346.78</v>
      </c>
      <c r="T21" s="6" t="n">
        <f aca="false">ROUND(S21-K21,2)</f>
        <v>0</v>
      </c>
      <c r="U21" s="5" t="n">
        <v>1</v>
      </c>
      <c r="V21" s="9" t="s">
        <v>27</v>
      </c>
    </row>
    <row r="22" customFormat="false" ht="15" hidden="false" customHeight="false" outlineLevel="0" collapsed="false">
      <c r="A22" s="4" t="n">
        <v>21</v>
      </c>
      <c r="B22" s="4" t="s">
        <v>70</v>
      </c>
      <c r="C22" s="4" t="s">
        <v>71</v>
      </c>
      <c r="D22" s="4" t="s">
        <v>72</v>
      </c>
      <c r="E22" s="5" t="s">
        <v>67</v>
      </c>
      <c r="F22" s="6" t="n">
        <v>160</v>
      </c>
      <c r="G22" s="6" t="n">
        <v>115.2</v>
      </c>
      <c r="H22" s="5" t="n">
        <v>10</v>
      </c>
      <c r="I22" s="5" t="s">
        <v>26</v>
      </c>
      <c r="J22" s="7" t="n">
        <v>0.28</v>
      </c>
      <c r="K22" s="6" t="n">
        <v>976.27</v>
      </c>
      <c r="L22" s="7" t="n">
        <v>0.09</v>
      </c>
      <c r="M22" s="6" t="n">
        <v>87.86</v>
      </c>
      <c r="N22" s="7" t="n">
        <v>0.09</v>
      </c>
      <c r="O22" s="6" t="n">
        <v>87.86</v>
      </c>
      <c r="P22" s="6" t="n">
        <f aca="false">K22+M22+O22</f>
        <v>1151.99</v>
      </c>
      <c r="Q22" s="8" t="n">
        <f aca="false">ROUND(K22/H22,2)</f>
        <v>97.63</v>
      </c>
      <c r="R22" s="6" t="n">
        <f aca="false">F22*H22</f>
        <v>1600</v>
      </c>
      <c r="S22" s="6" t="n">
        <f aca="false">ROUND(G22*H22/1.18,2)</f>
        <v>976.27</v>
      </c>
      <c r="T22" s="6" t="n">
        <f aca="false">ROUND(S22-K22,2)</f>
        <v>0</v>
      </c>
      <c r="U22" s="5" t="n">
        <v>1</v>
      </c>
      <c r="V22" s="9" t="s">
        <v>27</v>
      </c>
    </row>
    <row r="23" customFormat="false" ht="15" hidden="false" customHeight="false" outlineLevel="0" collapsed="false">
      <c r="A23" s="4" t="n">
        <v>22</v>
      </c>
      <c r="B23" s="4" t="s">
        <v>73</v>
      </c>
      <c r="C23" s="4" t="s">
        <v>74</v>
      </c>
      <c r="D23" s="4" t="s">
        <v>75</v>
      </c>
      <c r="E23" s="5" t="s">
        <v>76</v>
      </c>
      <c r="F23" s="6" t="n">
        <v>90</v>
      </c>
      <c r="G23" s="6" t="n">
        <v>54</v>
      </c>
      <c r="H23" s="5" t="n">
        <v>10</v>
      </c>
      <c r="I23" s="5" t="s">
        <v>26</v>
      </c>
      <c r="J23" s="7" t="n">
        <v>0.4</v>
      </c>
      <c r="K23" s="6" t="n">
        <v>457.63</v>
      </c>
      <c r="L23" s="7" t="n">
        <v>0.09</v>
      </c>
      <c r="M23" s="6" t="n">
        <v>41.18</v>
      </c>
      <c r="N23" s="7" t="n">
        <v>0.09</v>
      </c>
      <c r="O23" s="6" t="n">
        <v>41.18</v>
      </c>
      <c r="P23" s="6" t="n">
        <f aca="false">K23+M23+O23</f>
        <v>539.99</v>
      </c>
      <c r="Q23" s="8" t="n">
        <f aca="false">ROUND(K23/H23,2)</f>
        <v>45.76</v>
      </c>
      <c r="R23" s="6" t="n">
        <f aca="false">F23*H23</f>
        <v>900</v>
      </c>
      <c r="S23" s="6" t="n">
        <f aca="false">ROUND(G23*H23/1.18,2)</f>
        <v>457.63</v>
      </c>
      <c r="T23" s="6" t="n">
        <f aca="false">ROUND(S23-K23,2)</f>
        <v>0</v>
      </c>
      <c r="U23" s="5" t="n">
        <v>1</v>
      </c>
      <c r="V23" s="9" t="s">
        <v>27</v>
      </c>
    </row>
    <row r="24" customFormat="false" ht="15" hidden="false" customHeight="false" outlineLevel="0" collapsed="false">
      <c r="A24" s="4" t="n">
        <v>23</v>
      </c>
      <c r="B24" s="4" t="s">
        <v>73</v>
      </c>
      <c r="C24" s="4" t="s">
        <v>77</v>
      </c>
      <c r="D24" s="4" t="s">
        <v>78</v>
      </c>
      <c r="E24" s="5" t="s">
        <v>76</v>
      </c>
      <c r="F24" s="6" t="n">
        <v>105</v>
      </c>
      <c r="G24" s="6" t="n">
        <v>63</v>
      </c>
      <c r="H24" s="5" t="n">
        <v>10</v>
      </c>
      <c r="I24" s="5" t="s">
        <v>26</v>
      </c>
      <c r="J24" s="7" t="n">
        <v>0.4</v>
      </c>
      <c r="K24" s="6" t="n">
        <v>533.9</v>
      </c>
      <c r="L24" s="7" t="n">
        <v>0.09</v>
      </c>
      <c r="M24" s="6" t="n">
        <v>48.05</v>
      </c>
      <c r="N24" s="7" t="n">
        <v>0.09</v>
      </c>
      <c r="O24" s="6" t="n">
        <v>48.05</v>
      </c>
      <c r="P24" s="6" t="n">
        <f aca="false">K24+M24+O24</f>
        <v>630</v>
      </c>
      <c r="Q24" s="8" t="n">
        <f aca="false">ROUND(K24/H24,2)</f>
        <v>53.39</v>
      </c>
      <c r="R24" s="6" t="n">
        <f aca="false">F24*H24</f>
        <v>1050</v>
      </c>
      <c r="S24" s="6" t="n">
        <f aca="false">ROUND(G24*H24/1.18,2)</f>
        <v>533.9</v>
      </c>
      <c r="T24" s="6" t="n">
        <f aca="false">ROUND(S24-K24,2)</f>
        <v>0</v>
      </c>
      <c r="U24" s="5" t="n">
        <v>1</v>
      </c>
      <c r="V24" s="9" t="s">
        <v>27</v>
      </c>
    </row>
    <row r="25" customFormat="false" ht="15" hidden="false" customHeight="false" outlineLevel="0" collapsed="false">
      <c r="A25" s="4" t="n">
        <v>24</v>
      </c>
      <c r="B25" s="4" t="s">
        <v>73</v>
      </c>
      <c r="C25" s="4" t="s">
        <v>79</v>
      </c>
      <c r="D25" s="4" t="s">
        <v>80</v>
      </c>
      <c r="E25" s="5" t="s">
        <v>76</v>
      </c>
      <c r="F25" s="6" t="n">
        <v>112</v>
      </c>
      <c r="G25" s="6" t="n">
        <v>67.2</v>
      </c>
      <c r="H25" s="5" t="n">
        <v>10</v>
      </c>
      <c r="I25" s="5" t="s">
        <v>26</v>
      </c>
      <c r="J25" s="7" t="n">
        <v>0.4</v>
      </c>
      <c r="K25" s="6" t="n">
        <v>569.49</v>
      </c>
      <c r="L25" s="7" t="n">
        <v>0.09</v>
      </c>
      <c r="M25" s="6" t="n">
        <v>51.25</v>
      </c>
      <c r="N25" s="7" t="n">
        <v>0.09</v>
      </c>
      <c r="O25" s="6" t="n">
        <v>51.25</v>
      </c>
      <c r="P25" s="6" t="n">
        <f aca="false">K25+M25+O25</f>
        <v>671.99</v>
      </c>
      <c r="Q25" s="8" t="n">
        <f aca="false">ROUND(K25/H25,2)</f>
        <v>56.95</v>
      </c>
      <c r="R25" s="6" t="n">
        <f aca="false">F25*H25</f>
        <v>1120</v>
      </c>
      <c r="S25" s="6" t="n">
        <f aca="false">ROUND(G25*H25/1.18,2)</f>
        <v>569.49</v>
      </c>
      <c r="T25" s="6" t="n">
        <f aca="false">ROUND(S25-K25,2)</f>
        <v>0</v>
      </c>
      <c r="U25" s="5" t="n">
        <v>1</v>
      </c>
      <c r="V25" s="9" t="s">
        <v>27</v>
      </c>
    </row>
    <row r="26" customFormat="false" ht="15" hidden="false" customHeight="false" outlineLevel="0" collapsed="false">
      <c r="A26" s="4" t="n">
        <v>25</v>
      </c>
      <c r="B26" s="4" t="s">
        <v>73</v>
      </c>
      <c r="C26" s="4" t="s">
        <v>81</v>
      </c>
      <c r="D26" s="4" t="s">
        <v>82</v>
      </c>
      <c r="E26" s="5" t="s">
        <v>76</v>
      </c>
      <c r="F26" s="6" t="n">
        <v>145</v>
      </c>
      <c r="G26" s="6" t="n">
        <v>87</v>
      </c>
      <c r="H26" s="5" t="n">
        <v>5</v>
      </c>
      <c r="I26" s="5" t="s">
        <v>26</v>
      </c>
      <c r="J26" s="7" t="n">
        <v>0.4</v>
      </c>
      <c r="K26" s="6" t="n">
        <v>368.64</v>
      </c>
      <c r="L26" s="7" t="n">
        <v>0.09</v>
      </c>
      <c r="M26" s="6" t="n">
        <v>33.18</v>
      </c>
      <c r="N26" s="7" t="n">
        <v>0.09</v>
      </c>
      <c r="O26" s="6" t="n">
        <v>33.18</v>
      </c>
      <c r="P26" s="6" t="n">
        <f aca="false">K26+M26+O26</f>
        <v>435</v>
      </c>
      <c r="Q26" s="8" t="n">
        <f aca="false">ROUND(K26/H26,2)</f>
        <v>73.73</v>
      </c>
      <c r="R26" s="6" t="n">
        <f aca="false">F26*H26</f>
        <v>725</v>
      </c>
      <c r="S26" s="6" t="n">
        <f aca="false">ROUND(G26*H26/1.18,2)</f>
        <v>368.64</v>
      </c>
      <c r="T26" s="6" t="n">
        <f aca="false">ROUND(S26-K26,2)</f>
        <v>0</v>
      </c>
      <c r="U26" s="5" t="n">
        <v>1</v>
      </c>
      <c r="V26" s="9" t="s">
        <v>27</v>
      </c>
    </row>
    <row r="27" customFormat="false" ht="15" hidden="false" customHeight="false" outlineLevel="0" collapsed="false">
      <c r="A27" s="4" t="n">
        <v>26</v>
      </c>
      <c r="B27" s="4" t="s">
        <v>73</v>
      </c>
      <c r="C27" s="4" t="s">
        <v>83</v>
      </c>
      <c r="D27" s="4" t="s">
        <v>84</v>
      </c>
      <c r="E27" s="5" t="s">
        <v>76</v>
      </c>
      <c r="F27" s="6" t="n">
        <v>166</v>
      </c>
      <c r="G27" s="6" t="n">
        <v>99.6</v>
      </c>
      <c r="H27" s="5" t="n">
        <v>5</v>
      </c>
      <c r="I27" s="5" t="s">
        <v>26</v>
      </c>
      <c r="J27" s="7" t="n">
        <v>0.4</v>
      </c>
      <c r="K27" s="6" t="n">
        <v>422.03</v>
      </c>
      <c r="L27" s="7" t="n">
        <v>0.09</v>
      </c>
      <c r="M27" s="6" t="n">
        <v>37.98</v>
      </c>
      <c r="N27" s="7" t="n">
        <v>0.09</v>
      </c>
      <c r="O27" s="6" t="n">
        <v>37.98</v>
      </c>
      <c r="P27" s="6" t="n">
        <f aca="false">K27+M27+O27</f>
        <v>497.99</v>
      </c>
      <c r="Q27" s="8" t="n">
        <f aca="false">ROUND(K27/H27,2)</f>
        <v>84.41</v>
      </c>
      <c r="R27" s="6" t="n">
        <f aca="false">F27*H27</f>
        <v>830</v>
      </c>
      <c r="S27" s="6" t="n">
        <f aca="false">ROUND(G27*H27/1.18,2)</f>
        <v>422.03</v>
      </c>
      <c r="T27" s="6" t="n">
        <f aca="false">ROUND(S27-K27,2)</f>
        <v>0</v>
      </c>
      <c r="U27" s="5" t="n">
        <v>1</v>
      </c>
      <c r="V27" s="9" t="s">
        <v>27</v>
      </c>
    </row>
    <row r="28" customFormat="false" ht="15" hidden="false" customHeight="false" outlineLevel="0" collapsed="false">
      <c r="A28" s="4" t="n">
        <v>27</v>
      </c>
      <c r="B28" s="4" t="s">
        <v>73</v>
      </c>
      <c r="C28" s="4" t="s">
        <v>85</v>
      </c>
      <c r="D28" s="4" t="s">
        <v>86</v>
      </c>
      <c r="E28" s="5" t="s">
        <v>76</v>
      </c>
      <c r="F28" s="6" t="n">
        <v>110</v>
      </c>
      <c r="G28" s="6" t="n">
        <v>66</v>
      </c>
      <c r="H28" s="5" t="n">
        <v>10</v>
      </c>
      <c r="I28" s="5" t="s">
        <v>26</v>
      </c>
      <c r="J28" s="7" t="n">
        <v>0.4</v>
      </c>
      <c r="K28" s="6" t="n">
        <v>559.32</v>
      </c>
      <c r="L28" s="7" t="n">
        <v>0.09</v>
      </c>
      <c r="M28" s="6" t="n">
        <v>50.34</v>
      </c>
      <c r="N28" s="7" t="n">
        <v>0.09</v>
      </c>
      <c r="O28" s="6" t="n">
        <v>50.34</v>
      </c>
      <c r="P28" s="6" t="n">
        <f aca="false">K28+M28+O28</f>
        <v>660</v>
      </c>
      <c r="Q28" s="8" t="n">
        <f aca="false">ROUND(K28/H28,2)</f>
        <v>55.93</v>
      </c>
      <c r="R28" s="6" t="n">
        <f aca="false">F28*H28</f>
        <v>1100</v>
      </c>
      <c r="S28" s="6" t="n">
        <f aca="false">ROUND(G28*H28/1.18,2)</f>
        <v>559.32</v>
      </c>
      <c r="T28" s="6" t="n">
        <f aca="false">ROUND(S28-K28,2)</f>
        <v>0</v>
      </c>
      <c r="U28" s="5" t="n">
        <v>1</v>
      </c>
      <c r="V28" s="9" t="s">
        <v>27</v>
      </c>
    </row>
    <row r="29" customFormat="false" ht="15" hidden="false" customHeight="false" outlineLevel="0" collapsed="false">
      <c r="A29" s="4" t="n">
        <v>28</v>
      </c>
      <c r="B29" s="4" t="s">
        <v>73</v>
      </c>
      <c r="C29" s="4" t="s">
        <v>87</v>
      </c>
      <c r="D29" s="4" t="s">
        <v>88</v>
      </c>
      <c r="E29" s="5" t="s">
        <v>76</v>
      </c>
      <c r="F29" s="6" t="n">
        <v>123</v>
      </c>
      <c r="G29" s="6" t="n">
        <v>73.8</v>
      </c>
      <c r="H29" s="5" t="n">
        <v>5</v>
      </c>
      <c r="I29" s="5" t="s">
        <v>26</v>
      </c>
      <c r="J29" s="7" t="n">
        <v>0.4</v>
      </c>
      <c r="K29" s="6" t="n">
        <v>312.71</v>
      </c>
      <c r="L29" s="7" t="n">
        <v>0.09</v>
      </c>
      <c r="M29" s="6" t="n">
        <v>28.14</v>
      </c>
      <c r="N29" s="7" t="n">
        <v>0.09</v>
      </c>
      <c r="O29" s="6" t="n">
        <v>28.14</v>
      </c>
      <c r="P29" s="6" t="n">
        <f aca="false">K29+M29+O29</f>
        <v>368.99</v>
      </c>
      <c r="Q29" s="8" t="n">
        <f aca="false">ROUND(K29/H29,2)</f>
        <v>62.54</v>
      </c>
      <c r="R29" s="6" t="n">
        <f aca="false">F29*H29</f>
        <v>615</v>
      </c>
      <c r="S29" s="6" t="n">
        <f aca="false">ROUND(G29*H29/1.18,2)</f>
        <v>312.71</v>
      </c>
      <c r="T29" s="6" t="n">
        <f aca="false">ROUND(S29-K29,2)</f>
        <v>0</v>
      </c>
      <c r="U29" s="5" t="n">
        <v>2</v>
      </c>
      <c r="V29" s="9" t="s">
        <v>27</v>
      </c>
    </row>
    <row r="30" customFormat="false" ht="15" hidden="false" customHeight="false" outlineLevel="0" collapsed="false">
      <c r="A30" s="4" t="n">
        <v>29</v>
      </c>
      <c r="B30" s="4" t="s">
        <v>73</v>
      </c>
      <c r="C30" s="4" t="s">
        <v>89</v>
      </c>
      <c r="D30" s="4" t="s">
        <v>90</v>
      </c>
      <c r="E30" s="5" t="s">
        <v>76</v>
      </c>
      <c r="F30" s="6" t="n">
        <v>123</v>
      </c>
      <c r="G30" s="6" t="n">
        <v>73.8</v>
      </c>
      <c r="H30" s="5" t="n">
        <v>5</v>
      </c>
      <c r="I30" s="5" t="s">
        <v>26</v>
      </c>
      <c r="J30" s="7" t="n">
        <v>0.4</v>
      </c>
      <c r="K30" s="6" t="n">
        <v>312.71</v>
      </c>
      <c r="L30" s="7" t="n">
        <v>0.09</v>
      </c>
      <c r="M30" s="6" t="n">
        <v>28.14</v>
      </c>
      <c r="N30" s="7" t="n">
        <v>0.09</v>
      </c>
      <c r="O30" s="6" t="n">
        <v>28.14</v>
      </c>
      <c r="P30" s="6" t="n">
        <f aca="false">K30+M30+O30</f>
        <v>368.99</v>
      </c>
      <c r="Q30" s="8" t="n">
        <f aca="false">ROUND(K30/H30,2)</f>
        <v>62.54</v>
      </c>
      <c r="R30" s="6" t="n">
        <f aca="false">F30*H30</f>
        <v>615</v>
      </c>
      <c r="S30" s="6" t="n">
        <f aca="false">ROUND(G30*H30/1.18,2)</f>
        <v>312.71</v>
      </c>
      <c r="T30" s="6" t="n">
        <f aca="false">ROUND(S30-K30,2)</f>
        <v>0</v>
      </c>
      <c r="U30" s="5" t="n">
        <v>2</v>
      </c>
      <c r="V30" s="9" t="s">
        <v>27</v>
      </c>
    </row>
    <row r="31" customFormat="false" ht="15" hidden="false" customHeight="false" outlineLevel="0" collapsed="false">
      <c r="A31" s="4" t="n">
        <v>30</v>
      </c>
      <c r="B31" s="4" t="s">
        <v>73</v>
      </c>
      <c r="C31" s="4" t="s">
        <v>91</v>
      </c>
      <c r="D31" s="4" t="s">
        <v>92</v>
      </c>
      <c r="E31" s="5" t="s">
        <v>76</v>
      </c>
      <c r="F31" s="6" t="n">
        <v>193</v>
      </c>
      <c r="G31" s="6" t="n">
        <v>115.8</v>
      </c>
      <c r="H31" s="5" t="n">
        <v>5</v>
      </c>
      <c r="I31" s="5" t="s">
        <v>26</v>
      </c>
      <c r="J31" s="7" t="n">
        <v>0.4</v>
      </c>
      <c r="K31" s="6" t="n">
        <v>490.68</v>
      </c>
      <c r="L31" s="7" t="n">
        <v>0.09</v>
      </c>
      <c r="M31" s="6" t="n">
        <v>44.16</v>
      </c>
      <c r="N31" s="7" t="n">
        <v>0.09</v>
      </c>
      <c r="O31" s="6" t="n">
        <v>44.16</v>
      </c>
      <c r="P31" s="6" t="n">
        <f aca="false">K31+M31+O31</f>
        <v>579</v>
      </c>
      <c r="Q31" s="8" t="n">
        <f aca="false">ROUND(K31/H31,2)</f>
        <v>98.14</v>
      </c>
      <c r="R31" s="6" t="n">
        <f aca="false">F31*H31</f>
        <v>965</v>
      </c>
      <c r="S31" s="6" t="n">
        <f aca="false">ROUND(G31*H31/1.18,2)</f>
        <v>490.68</v>
      </c>
      <c r="T31" s="6" t="n">
        <f aca="false">ROUND(S31-K31,2)</f>
        <v>0</v>
      </c>
      <c r="U31" s="5" t="n">
        <v>2</v>
      </c>
      <c r="V31" s="9" t="s">
        <v>27</v>
      </c>
    </row>
    <row r="32" customFormat="false" ht="15" hidden="false" customHeight="false" outlineLevel="0" collapsed="false">
      <c r="A32" s="4" t="n">
        <v>31</v>
      </c>
      <c r="B32" s="4" t="s">
        <v>73</v>
      </c>
      <c r="C32" s="4" t="s">
        <v>93</v>
      </c>
      <c r="D32" s="4" t="s">
        <v>94</v>
      </c>
      <c r="E32" s="5" t="s">
        <v>76</v>
      </c>
      <c r="F32" s="6" t="n">
        <v>204</v>
      </c>
      <c r="G32" s="6" t="n">
        <v>122.4</v>
      </c>
      <c r="H32" s="5" t="n">
        <v>5</v>
      </c>
      <c r="I32" s="5" t="s">
        <v>26</v>
      </c>
      <c r="J32" s="7" t="n">
        <v>0.4</v>
      </c>
      <c r="K32" s="6" t="n">
        <v>518.64</v>
      </c>
      <c r="L32" s="7" t="n">
        <v>0.09</v>
      </c>
      <c r="M32" s="6" t="n">
        <v>46.68</v>
      </c>
      <c r="N32" s="7" t="n">
        <v>0.09</v>
      </c>
      <c r="O32" s="6" t="n">
        <v>46.68</v>
      </c>
      <c r="P32" s="6" t="n">
        <f aca="false">K32+M32+O32</f>
        <v>612</v>
      </c>
      <c r="Q32" s="8" t="n">
        <f aca="false">ROUND(K32/H32,2)</f>
        <v>103.73</v>
      </c>
      <c r="R32" s="6" t="n">
        <f aca="false">F32*H32</f>
        <v>1020</v>
      </c>
      <c r="S32" s="6" t="n">
        <f aca="false">ROUND(G32*H32/1.18,2)</f>
        <v>518.64</v>
      </c>
      <c r="T32" s="6" t="n">
        <f aca="false">ROUND(S32-K32,2)</f>
        <v>0</v>
      </c>
      <c r="U32" s="5" t="n">
        <v>2</v>
      </c>
      <c r="V32" s="9" t="s">
        <v>27</v>
      </c>
    </row>
    <row r="33" customFormat="false" ht="15" hidden="false" customHeight="false" outlineLevel="0" collapsed="false">
      <c r="A33" s="4" t="n">
        <v>32</v>
      </c>
      <c r="B33" s="4" t="s">
        <v>73</v>
      </c>
      <c r="C33" s="4" t="s">
        <v>95</v>
      </c>
      <c r="D33" s="4" t="s">
        <v>96</v>
      </c>
      <c r="E33" s="5" t="s">
        <v>76</v>
      </c>
      <c r="F33" s="6" t="n">
        <v>180</v>
      </c>
      <c r="G33" s="6" t="n">
        <v>108</v>
      </c>
      <c r="H33" s="5" t="n">
        <v>5</v>
      </c>
      <c r="I33" s="5" t="s">
        <v>26</v>
      </c>
      <c r="J33" s="7" t="n">
        <v>0.4</v>
      </c>
      <c r="K33" s="6" t="n">
        <v>457.63</v>
      </c>
      <c r="L33" s="7" t="n">
        <v>0.09</v>
      </c>
      <c r="M33" s="6" t="n">
        <v>41.18</v>
      </c>
      <c r="N33" s="7" t="n">
        <v>0.09</v>
      </c>
      <c r="O33" s="6" t="n">
        <v>41.18</v>
      </c>
      <c r="P33" s="6" t="n">
        <f aca="false">K33+M33+O33</f>
        <v>539.99</v>
      </c>
      <c r="Q33" s="8" t="n">
        <f aca="false">ROUND(K33/H33,2)</f>
        <v>91.53</v>
      </c>
      <c r="R33" s="6" t="n">
        <f aca="false">F33*H33</f>
        <v>900</v>
      </c>
      <c r="S33" s="6" t="n">
        <f aca="false">ROUND(G33*H33/1.18,2)</f>
        <v>457.63</v>
      </c>
      <c r="T33" s="6" t="n">
        <f aca="false">ROUND(S33-K33,2)</f>
        <v>0</v>
      </c>
      <c r="U33" s="5" t="n">
        <v>2</v>
      </c>
      <c r="V33" s="9" t="s">
        <v>27</v>
      </c>
    </row>
    <row r="34" customFormat="false" ht="15" hidden="false" customHeight="false" outlineLevel="0" collapsed="false">
      <c r="A34" s="4" t="n">
        <v>33</v>
      </c>
      <c r="B34" s="4" t="s">
        <v>73</v>
      </c>
      <c r="C34" s="4" t="s">
        <v>97</v>
      </c>
      <c r="D34" s="4" t="s">
        <v>98</v>
      </c>
      <c r="E34" s="5" t="s">
        <v>76</v>
      </c>
      <c r="F34" s="6" t="n">
        <v>241</v>
      </c>
      <c r="G34" s="6" t="n">
        <v>144.6</v>
      </c>
      <c r="H34" s="5" t="n">
        <v>5</v>
      </c>
      <c r="I34" s="5" t="s">
        <v>26</v>
      </c>
      <c r="J34" s="7" t="n">
        <v>0.4</v>
      </c>
      <c r="K34" s="6" t="n">
        <v>612.71</v>
      </c>
      <c r="L34" s="7" t="n">
        <v>0.09</v>
      </c>
      <c r="M34" s="6" t="n">
        <v>55.14</v>
      </c>
      <c r="N34" s="7" t="n">
        <v>0.09</v>
      </c>
      <c r="O34" s="6" t="n">
        <v>55.14</v>
      </c>
      <c r="P34" s="6" t="n">
        <f aca="false">K34+M34+O34</f>
        <v>722.99</v>
      </c>
      <c r="Q34" s="8" t="n">
        <f aca="false">ROUND(K34/H34,2)</f>
        <v>122.54</v>
      </c>
      <c r="R34" s="6" t="n">
        <f aca="false">F34*H34</f>
        <v>1205</v>
      </c>
      <c r="S34" s="6" t="n">
        <f aca="false">ROUND(G34*H34/1.18,2)</f>
        <v>612.71</v>
      </c>
      <c r="T34" s="6" t="n">
        <f aca="false">ROUND(S34-K34,2)</f>
        <v>0</v>
      </c>
      <c r="U34" s="5" t="n">
        <v>2</v>
      </c>
      <c r="V34" s="9" t="s">
        <v>27</v>
      </c>
    </row>
    <row r="35" customFormat="false" ht="15" hidden="false" customHeight="false" outlineLevel="0" collapsed="false">
      <c r="A35" s="4" t="n">
        <v>34</v>
      </c>
      <c r="B35" s="4" t="s">
        <v>73</v>
      </c>
      <c r="C35" s="4" t="s">
        <v>99</v>
      </c>
      <c r="D35" s="4" t="s">
        <v>100</v>
      </c>
      <c r="E35" s="5" t="s">
        <v>76</v>
      </c>
      <c r="F35" s="6" t="n">
        <v>147</v>
      </c>
      <c r="G35" s="6" t="n">
        <v>88.2</v>
      </c>
      <c r="H35" s="5" t="n">
        <v>5</v>
      </c>
      <c r="I35" s="5" t="s">
        <v>26</v>
      </c>
      <c r="J35" s="7" t="n">
        <v>0.4</v>
      </c>
      <c r="K35" s="6" t="n">
        <v>373.73</v>
      </c>
      <c r="L35" s="7" t="n">
        <v>0.09</v>
      </c>
      <c r="M35" s="6" t="n">
        <v>33.63</v>
      </c>
      <c r="N35" s="7" t="n">
        <v>0.09</v>
      </c>
      <c r="O35" s="6" t="n">
        <v>33.63</v>
      </c>
      <c r="P35" s="6" t="n">
        <f aca="false">K35+M35+O35</f>
        <v>440.99</v>
      </c>
      <c r="Q35" s="8" t="n">
        <f aca="false">ROUND(K35/H35,2)</f>
        <v>74.75</v>
      </c>
      <c r="R35" s="6" t="n">
        <f aca="false">F35*H35</f>
        <v>735</v>
      </c>
      <c r="S35" s="6" t="n">
        <f aca="false">ROUND(G35*H35/1.18,2)</f>
        <v>373.73</v>
      </c>
      <c r="T35" s="6" t="n">
        <f aca="false">ROUND(S35-K35,2)</f>
        <v>0</v>
      </c>
      <c r="U35" s="5" t="n">
        <v>2</v>
      </c>
      <c r="V35" s="9" t="s">
        <v>27</v>
      </c>
    </row>
    <row r="36" customFormat="false" ht="15" hidden="false" customHeight="false" outlineLevel="0" collapsed="false">
      <c r="A36" s="4" t="n">
        <v>35</v>
      </c>
      <c r="B36" s="4" t="s">
        <v>73</v>
      </c>
      <c r="C36" s="4" t="s">
        <v>101</v>
      </c>
      <c r="D36" s="4" t="s">
        <v>102</v>
      </c>
      <c r="E36" s="5" t="s">
        <v>76</v>
      </c>
      <c r="F36" s="6" t="n">
        <v>138</v>
      </c>
      <c r="G36" s="6" t="n">
        <v>82.8</v>
      </c>
      <c r="H36" s="5" t="n">
        <v>5</v>
      </c>
      <c r="I36" s="5" t="s">
        <v>26</v>
      </c>
      <c r="J36" s="7" t="n">
        <v>0.4</v>
      </c>
      <c r="K36" s="6" t="n">
        <v>350.85</v>
      </c>
      <c r="L36" s="7" t="n">
        <v>0.09</v>
      </c>
      <c r="M36" s="6" t="n">
        <v>31.57</v>
      </c>
      <c r="N36" s="7" t="n">
        <v>0.09</v>
      </c>
      <c r="O36" s="6" t="n">
        <v>31.57</v>
      </c>
      <c r="P36" s="6" t="n">
        <f aca="false">K36+M36+O36</f>
        <v>413.99</v>
      </c>
      <c r="Q36" s="8" t="n">
        <f aca="false">ROUND(K36/H36,2)</f>
        <v>70.17</v>
      </c>
      <c r="R36" s="6" t="n">
        <f aca="false">F36*H36</f>
        <v>690</v>
      </c>
      <c r="S36" s="6" t="n">
        <f aca="false">ROUND(G36*H36/1.18,2)</f>
        <v>350.85</v>
      </c>
      <c r="T36" s="6" t="n">
        <f aca="false">ROUND(S36-K36,2)</f>
        <v>0</v>
      </c>
      <c r="U36" s="5" t="n">
        <v>2</v>
      </c>
      <c r="V36" s="9" t="s">
        <v>27</v>
      </c>
    </row>
    <row r="37" customFormat="false" ht="15" hidden="false" customHeight="false" outlineLevel="0" collapsed="false">
      <c r="A37" s="4" t="n">
        <v>36</v>
      </c>
      <c r="B37" s="4" t="s">
        <v>73</v>
      </c>
      <c r="C37" s="4" t="s">
        <v>103</v>
      </c>
      <c r="D37" s="4" t="s">
        <v>104</v>
      </c>
      <c r="E37" s="5" t="s">
        <v>76</v>
      </c>
      <c r="F37" s="6" t="n">
        <v>143</v>
      </c>
      <c r="G37" s="6" t="n">
        <v>85.8</v>
      </c>
      <c r="H37" s="5" t="n">
        <v>5</v>
      </c>
      <c r="I37" s="5" t="s">
        <v>26</v>
      </c>
      <c r="J37" s="7" t="n">
        <v>0.4</v>
      </c>
      <c r="K37" s="6" t="n">
        <v>363.56</v>
      </c>
      <c r="L37" s="7" t="n">
        <v>0.09</v>
      </c>
      <c r="M37" s="6" t="n">
        <v>32.72</v>
      </c>
      <c r="N37" s="7" t="n">
        <v>0.09</v>
      </c>
      <c r="O37" s="6" t="n">
        <v>32.72</v>
      </c>
      <c r="P37" s="6" t="n">
        <f aca="false">K37+M37+O37</f>
        <v>429</v>
      </c>
      <c r="Q37" s="8" t="n">
        <f aca="false">ROUND(K37/H37,2)</f>
        <v>72.71</v>
      </c>
      <c r="R37" s="6" t="n">
        <f aca="false">F37*H37</f>
        <v>715</v>
      </c>
      <c r="S37" s="6" t="n">
        <f aca="false">ROUND(G37*H37/1.18,2)</f>
        <v>363.56</v>
      </c>
      <c r="T37" s="6" t="n">
        <f aca="false">ROUND(S37-K37,2)</f>
        <v>0</v>
      </c>
      <c r="U37" s="5" t="n">
        <v>2</v>
      </c>
      <c r="V37" s="9" t="s">
        <v>27</v>
      </c>
    </row>
    <row r="38" customFormat="false" ht="15" hidden="false" customHeight="false" outlineLevel="0" collapsed="false">
      <c r="A38" s="4" t="n">
        <v>37</v>
      </c>
      <c r="B38" s="4" t="s">
        <v>73</v>
      </c>
      <c r="C38" s="4" t="s">
        <v>105</v>
      </c>
      <c r="D38" s="4" t="s">
        <v>106</v>
      </c>
      <c r="E38" s="5" t="s">
        <v>76</v>
      </c>
      <c r="F38" s="6" t="n">
        <v>147</v>
      </c>
      <c r="G38" s="6" t="n">
        <v>88.2</v>
      </c>
      <c r="H38" s="5" t="n">
        <v>5</v>
      </c>
      <c r="I38" s="5" t="s">
        <v>26</v>
      </c>
      <c r="J38" s="7" t="n">
        <v>0.4</v>
      </c>
      <c r="K38" s="6" t="n">
        <v>373.73</v>
      </c>
      <c r="L38" s="7" t="n">
        <v>0.09</v>
      </c>
      <c r="M38" s="6" t="n">
        <v>33.63</v>
      </c>
      <c r="N38" s="7" t="n">
        <v>0.09</v>
      </c>
      <c r="O38" s="6" t="n">
        <v>33.63</v>
      </c>
      <c r="P38" s="6" t="n">
        <f aca="false">K38+M38+O38</f>
        <v>440.99</v>
      </c>
      <c r="Q38" s="8" t="n">
        <f aca="false">ROUND(K38/H38,2)</f>
        <v>74.75</v>
      </c>
      <c r="R38" s="6" t="n">
        <f aca="false">F38*H38</f>
        <v>735</v>
      </c>
      <c r="S38" s="6" t="n">
        <f aca="false">ROUND(G38*H38/1.18,2)</f>
        <v>373.73</v>
      </c>
      <c r="T38" s="6" t="n">
        <f aca="false">ROUND(S38-K38,2)</f>
        <v>0</v>
      </c>
      <c r="U38" s="5" t="n">
        <v>2</v>
      </c>
      <c r="V38" s="9" t="s">
        <v>27</v>
      </c>
    </row>
    <row r="39" customFormat="false" ht="15" hidden="false" customHeight="false" outlineLevel="0" collapsed="false">
      <c r="A39" s="4" t="n">
        <v>38</v>
      </c>
      <c r="B39" s="4" t="s">
        <v>73</v>
      </c>
      <c r="C39" s="4" t="s">
        <v>107</v>
      </c>
      <c r="D39" s="4" t="s">
        <v>108</v>
      </c>
      <c r="E39" s="5" t="s">
        <v>76</v>
      </c>
      <c r="F39" s="6" t="n">
        <v>138</v>
      </c>
      <c r="G39" s="6" t="n">
        <v>82.8</v>
      </c>
      <c r="H39" s="5" t="n">
        <v>5</v>
      </c>
      <c r="I39" s="5" t="s">
        <v>26</v>
      </c>
      <c r="J39" s="7" t="n">
        <v>0.4</v>
      </c>
      <c r="K39" s="6" t="n">
        <v>350.85</v>
      </c>
      <c r="L39" s="7" t="n">
        <v>0.09</v>
      </c>
      <c r="M39" s="6" t="n">
        <v>31.57</v>
      </c>
      <c r="N39" s="7" t="n">
        <v>0.09</v>
      </c>
      <c r="O39" s="6" t="n">
        <v>31.57</v>
      </c>
      <c r="P39" s="6" t="n">
        <f aca="false">K39+M39+O39</f>
        <v>413.99</v>
      </c>
      <c r="Q39" s="8" t="n">
        <f aca="false">ROUND(K39/H39,2)</f>
        <v>70.17</v>
      </c>
      <c r="R39" s="6" t="n">
        <f aca="false">F39*H39</f>
        <v>690</v>
      </c>
      <c r="S39" s="6" t="n">
        <f aca="false">ROUND(G39*H39/1.18,2)</f>
        <v>350.85</v>
      </c>
      <c r="T39" s="6" t="n">
        <f aca="false">ROUND(S39-K39,2)</f>
        <v>0</v>
      </c>
      <c r="U39" s="5" t="n">
        <v>2</v>
      </c>
      <c r="V39" s="9" t="s">
        <v>27</v>
      </c>
    </row>
    <row r="40" customFormat="false" ht="15" hidden="false" customHeight="false" outlineLevel="0" collapsed="false">
      <c r="A40" s="4" t="n">
        <v>39</v>
      </c>
      <c r="B40" s="4" t="s">
        <v>73</v>
      </c>
      <c r="C40" s="4" t="s">
        <v>109</v>
      </c>
      <c r="D40" s="4" t="s">
        <v>110</v>
      </c>
      <c r="E40" s="5" t="s">
        <v>76</v>
      </c>
      <c r="F40" s="6" t="n">
        <v>143</v>
      </c>
      <c r="G40" s="6" t="n">
        <v>85.8</v>
      </c>
      <c r="H40" s="5" t="n">
        <v>5</v>
      </c>
      <c r="I40" s="5" t="s">
        <v>26</v>
      </c>
      <c r="J40" s="7" t="n">
        <v>0.4</v>
      </c>
      <c r="K40" s="6" t="n">
        <v>363.56</v>
      </c>
      <c r="L40" s="7" t="n">
        <v>0.09</v>
      </c>
      <c r="M40" s="6" t="n">
        <v>32.72</v>
      </c>
      <c r="N40" s="7" t="n">
        <v>0.09</v>
      </c>
      <c r="O40" s="6" t="n">
        <v>32.72</v>
      </c>
      <c r="P40" s="6" t="n">
        <f aca="false">K40+M40+O40</f>
        <v>429</v>
      </c>
      <c r="Q40" s="8" t="n">
        <f aca="false">ROUND(K40/H40,2)</f>
        <v>72.71</v>
      </c>
      <c r="R40" s="6" t="n">
        <f aca="false">F40*H40</f>
        <v>715</v>
      </c>
      <c r="S40" s="6" t="n">
        <f aca="false">ROUND(G40*H40/1.18,2)</f>
        <v>363.56</v>
      </c>
      <c r="T40" s="6" t="n">
        <f aca="false">ROUND(S40-K40,2)</f>
        <v>0</v>
      </c>
      <c r="U40" s="5" t="n">
        <v>2</v>
      </c>
      <c r="V40" s="9" t="s">
        <v>27</v>
      </c>
    </row>
    <row r="41" customFormat="false" ht="15" hidden="false" customHeight="false" outlineLevel="0" collapsed="false">
      <c r="A41" s="4" t="n">
        <v>40</v>
      </c>
      <c r="B41" s="4" t="s">
        <v>73</v>
      </c>
      <c r="C41" s="4" t="s">
        <v>111</v>
      </c>
      <c r="D41" s="4" t="s">
        <v>112</v>
      </c>
      <c r="E41" s="5" t="s">
        <v>76</v>
      </c>
      <c r="F41" s="6" t="n">
        <v>150</v>
      </c>
      <c r="G41" s="6" t="n">
        <v>90</v>
      </c>
      <c r="H41" s="5" t="n">
        <v>5</v>
      </c>
      <c r="I41" s="5" t="s">
        <v>26</v>
      </c>
      <c r="J41" s="7" t="n">
        <v>0.4</v>
      </c>
      <c r="K41" s="6" t="n">
        <v>381.36</v>
      </c>
      <c r="L41" s="7" t="n">
        <v>0.09</v>
      </c>
      <c r="M41" s="6" t="n">
        <v>34.32</v>
      </c>
      <c r="N41" s="7" t="n">
        <v>0.09</v>
      </c>
      <c r="O41" s="6" t="n">
        <v>34.32</v>
      </c>
      <c r="P41" s="6" t="n">
        <f aca="false">K41+M41+O41</f>
        <v>450</v>
      </c>
      <c r="Q41" s="8" t="n">
        <f aca="false">ROUND(K41/H41,2)</f>
        <v>76.27</v>
      </c>
      <c r="R41" s="6" t="n">
        <f aca="false">F41*H41</f>
        <v>750</v>
      </c>
      <c r="S41" s="6" t="n">
        <f aca="false">ROUND(G41*H41/1.18,2)</f>
        <v>381.36</v>
      </c>
      <c r="T41" s="6" t="n">
        <f aca="false">ROUND(S41-K41,2)</f>
        <v>0</v>
      </c>
      <c r="U41" s="5" t="n">
        <v>2</v>
      </c>
      <c r="V41" s="9" t="s">
        <v>27</v>
      </c>
    </row>
    <row r="42" customFormat="false" ht="15" hidden="false" customHeight="false" outlineLevel="0" collapsed="false">
      <c r="A42" s="4" t="n">
        <v>41</v>
      </c>
      <c r="B42" s="4" t="s">
        <v>73</v>
      </c>
      <c r="C42" s="4" t="s">
        <v>113</v>
      </c>
      <c r="D42" s="4" t="s">
        <v>114</v>
      </c>
      <c r="E42" s="5" t="s">
        <v>76</v>
      </c>
      <c r="F42" s="6" t="n">
        <v>77</v>
      </c>
      <c r="G42" s="6" t="n">
        <v>46.2</v>
      </c>
      <c r="H42" s="5" t="n">
        <v>5</v>
      </c>
      <c r="I42" s="5" t="s">
        <v>26</v>
      </c>
      <c r="J42" s="7" t="n">
        <v>0.4</v>
      </c>
      <c r="K42" s="6" t="n">
        <v>195.76</v>
      </c>
      <c r="L42" s="7" t="n">
        <v>0.09</v>
      </c>
      <c r="M42" s="6" t="n">
        <v>17.62</v>
      </c>
      <c r="N42" s="7" t="n">
        <v>0.09</v>
      </c>
      <c r="O42" s="6" t="n">
        <v>17.62</v>
      </c>
      <c r="P42" s="6" t="n">
        <f aca="false">K42+M42+O42</f>
        <v>231</v>
      </c>
      <c r="Q42" s="8" t="n">
        <f aca="false">ROUND(K42/H42,2)</f>
        <v>39.15</v>
      </c>
      <c r="R42" s="6" t="n">
        <f aca="false">F42*H42</f>
        <v>385</v>
      </c>
      <c r="S42" s="6" t="n">
        <f aca="false">ROUND(G42*H42/1.18,2)</f>
        <v>195.76</v>
      </c>
      <c r="T42" s="6" t="n">
        <f aca="false">ROUND(S42-K42,2)</f>
        <v>0</v>
      </c>
      <c r="U42" s="5" t="n">
        <v>2</v>
      </c>
      <c r="V42" s="9" t="s">
        <v>27</v>
      </c>
    </row>
    <row r="43" customFormat="false" ht="15" hidden="false" customHeight="false" outlineLevel="0" collapsed="false">
      <c r="A43" s="4" t="n">
        <v>42</v>
      </c>
      <c r="B43" s="4" t="s">
        <v>73</v>
      </c>
      <c r="C43" s="4" t="s">
        <v>115</v>
      </c>
      <c r="D43" s="4" t="s">
        <v>116</v>
      </c>
      <c r="E43" s="5" t="s">
        <v>76</v>
      </c>
      <c r="F43" s="6" t="n">
        <v>103</v>
      </c>
      <c r="G43" s="6" t="n">
        <v>61.8</v>
      </c>
      <c r="H43" s="5" t="n">
        <v>5</v>
      </c>
      <c r="I43" s="5" t="s">
        <v>26</v>
      </c>
      <c r="J43" s="7" t="n">
        <v>0.4</v>
      </c>
      <c r="K43" s="6" t="n">
        <v>261.86</v>
      </c>
      <c r="L43" s="7" t="n">
        <v>0.09</v>
      </c>
      <c r="M43" s="6" t="n">
        <v>23.57</v>
      </c>
      <c r="N43" s="7" t="n">
        <v>0.09</v>
      </c>
      <c r="O43" s="6" t="n">
        <v>23.57</v>
      </c>
      <c r="P43" s="6" t="n">
        <f aca="false">K43+M43+O43</f>
        <v>309</v>
      </c>
      <c r="Q43" s="8" t="n">
        <f aca="false">ROUND(K43/H43,2)</f>
        <v>52.37</v>
      </c>
      <c r="R43" s="6" t="n">
        <f aca="false">F43*H43</f>
        <v>515</v>
      </c>
      <c r="S43" s="6" t="n">
        <f aca="false">ROUND(G43*H43/1.18,2)</f>
        <v>261.86</v>
      </c>
      <c r="T43" s="6" t="n">
        <f aca="false">ROUND(S43-K43,2)</f>
        <v>0</v>
      </c>
      <c r="U43" s="5" t="n">
        <v>2</v>
      </c>
      <c r="V43" s="9" t="s">
        <v>27</v>
      </c>
    </row>
    <row r="44" customFormat="false" ht="15" hidden="false" customHeight="false" outlineLevel="0" collapsed="false">
      <c r="A44" s="4" t="n">
        <v>43</v>
      </c>
      <c r="B44" s="4" t="s">
        <v>73</v>
      </c>
      <c r="C44" s="4" t="s">
        <v>117</v>
      </c>
      <c r="D44" s="4" t="s">
        <v>118</v>
      </c>
      <c r="E44" s="5" t="s">
        <v>76</v>
      </c>
      <c r="F44" s="6" t="n">
        <v>123</v>
      </c>
      <c r="G44" s="6" t="n">
        <v>73.8</v>
      </c>
      <c r="H44" s="5" t="n">
        <v>5</v>
      </c>
      <c r="I44" s="5" t="s">
        <v>26</v>
      </c>
      <c r="J44" s="7" t="n">
        <v>0.4</v>
      </c>
      <c r="K44" s="6" t="n">
        <v>312.71</v>
      </c>
      <c r="L44" s="7" t="n">
        <v>0.09</v>
      </c>
      <c r="M44" s="6" t="n">
        <v>28.14</v>
      </c>
      <c r="N44" s="7" t="n">
        <v>0.09</v>
      </c>
      <c r="O44" s="6" t="n">
        <v>28.14</v>
      </c>
      <c r="P44" s="6" t="n">
        <f aca="false">K44+M44+O44</f>
        <v>368.99</v>
      </c>
      <c r="Q44" s="8" t="n">
        <f aca="false">ROUND(K44/H44,2)</f>
        <v>62.54</v>
      </c>
      <c r="R44" s="6" t="n">
        <f aca="false">F44*H44</f>
        <v>615</v>
      </c>
      <c r="S44" s="6" t="n">
        <f aca="false">ROUND(G44*H44/1.18,2)</f>
        <v>312.71</v>
      </c>
      <c r="T44" s="6" t="n">
        <f aca="false">ROUND(S44-K44,2)</f>
        <v>0</v>
      </c>
      <c r="U44" s="5" t="n">
        <v>2</v>
      </c>
      <c r="V44" s="9" t="s">
        <v>27</v>
      </c>
    </row>
    <row r="45" customFormat="false" ht="15" hidden="false" customHeight="false" outlineLevel="0" collapsed="false">
      <c r="A45" s="4" t="n">
        <v>44</v>
      </c>
      <c r="B45" s="4" t="s">
        <v>73</v>
      </c>
      <c r="C45" s="4" t="s">
        <v>119</v>
      </c>
      <c r="D45" s="4" t="s">
        <v>120</v>
      </c>
      <c r="E45" s="5" t="s">
        <v>76</v>
      </c>
      <c r="F45" s="6" t="n">
        <v>117</v>
      </c>
      <c r="G45" s="6" t="n">
        <v>70.2</v>
      </c>
      <c r="H45" s="5" t="n">
        <v>5</v>
      </c>
      <c r="I45" s="5" t="s">
        <v>26</v>
      </c>
      <c r="J45" s="7" t="n">
        <v>0.4</v>
      </c>
      <c r="K45" s="6" t="n">
        <v>297.46</v>
      </c>
      <c r="L45" s="7" t="n">
        <v>0.09</v>
      </c>
      <c r="M45" s="6" t="n">
        <v>26.77</v>
      </c>
      <c r="N45" s="7" t="n">
        <v>0.09</v>
      </c>
      <c r="O45" s="6" t="n">
        <v>26.77</v>
      </c>
      <c r="P45" s="6" t="n">
        <f aca="false">K45+M45+O45</f>
        <v>351</v>
      </c>
      <c r="Q45" s="8" t="n">
        <f aca="false">ROUND(K45/H45,2)</f>
        <v>59.49</v>
      </c>
      <c r="R45" s="6" t="n">
        <f aca="false">F45*H45</f>
        <v>585</v>
      </c>
      <c r="S45" s="6" t="n">
        <f aca="false">ROUND(G45*H45/1.18,2)</f>
        <v>297.46</v>
      </c>
      <c r="T45" s="6" t="n">
        <f aca="false">ROUND(S45-K45,2)</f>
        <v>0</v>
      </c>
      <c r="U45" s="5" t="n">
        <v>2</v>
      </c>
      <c r="V45" s="9" t="s">
        <v>27</v>
      </c>
    </row>
    <row r="46" customFormat="false" ht="15" hidden="false" customHeight="false" outlineLevel="0" collapsed="false">
      <c r="A46" s="4" t="n">
        <v>45</v>
      </c>
      <c r="B46" s="4" t="s">
        <v>73</v>
      </c>
      <c r="C46" s="4" t="s">
        <v>121</v>
      </c>
      <c r="D46" s="4" t="s">
        <v>122</v>
      </c>
      <c r="E46" s="5" t="s">
        <v>76</v>
      </c>
      <c r="F46" s="6" t="n">
        <v>100</v>
      </c>
      <c r="G46" s="6" t="n">
        <v>60</v>
      </c>
      <c r="H46" s="5" t="n">
        <v>5</v>
      </c>
      <c r="I46" s="5" t="s">
        <v>26</v>
      </c>
      <c r="J46" s="7" t="n">
        <v>0.4</v>
      </c>
      <c r="K46" s="6" t="n">
        <v>254.24</v>
      </c>
      <c r="L46" s="7" t="n">
        <v>0.09</v>
      </c>
      <c r="M46" s="6" t="n">
        <v>22.88</v>
      </c>
      <c r="N46" s="7" t="n">
        <v>0.09</v>
      </c>
      <c r="O46" s="6" t="n">
        <v>22.88</v>
      </c>
      <c r="P46" s="6" t="n">
        <f aca="false">K46+M46+O46</f>
        <v>300</v>
      </c>
      <c r="Q46" s="8" t="n">
        <f aca="false">ROUND(K46/H46,2)</f>
        <v>50.85</v>
      </c>
      <c r="R46" s="6" t="n">
        <f aca="false">F46*H46</f>
        <v>500</v>
      </c>
      <c r="S46" s="6" t="n">
        <f aca="false">ROUND(G46*H46/1.18,2)</f>
        <v>254.24</v>
      </c>
      <c r="T46" s="6" t="n">
        <f aca="false">ROUND(S46-K46,2)</f>
        <v>0</v>
      </c>
      <c r="U46" s="5" t="n">
        <v>2</v>
      </c>
      <c r="V46" s="9" t="s">
        <v>27</v>
      </c>
    </row>
    <row r="47" customFormat="false" ht="15" hidden="false" customHeight="false" outlineLevel="0" collapsed="false">
      <c r="A47" s="4" t="n">
        <v>46</v>
      </c>
      <c r="B47" s="4" t="s">
        <v>73</v>
      </c>
      <c r="C47" s="4" t="s">
        <v>123</v>
      </c>
      <c r="D47" s="4" t="s">
        <v>124</v>
      </c>
      <c r="E47" s="5" t="s">
        <v>76</v>
      </c>
      <c r="F47" s="6" t="n">
        <v>148</v>
      </c>
      <c r="G47" s="6" t="n">
        <v>88.8</v>
      </c>
      <c r="H47" s="5" t="n">
        <v>5</v>
      </c>
      <c r="I47" s="5" t="s">
        <v>26</v>
      </c>
      <c r="J47" s="7" t="n">
        <v>0.4</v>
      </c>
      <c r="K47" s="6" t="n">
        <v>376.27</v>
      </c>
      <c r="L47" s="7" t="n">
        <v>0.09</v>
      </c>
      <c r="M47" s="6" t="n">
        <v>33.86</v>
      </c>
      <c r="N47" s="7" t="n">
        <v>0.09</v>
      </c>
      <c r="O47" s="6" t="n">
        <v>33.86</v>
      </c>
      <c r="P47" s="6" t="n">
        <f aca="false">K47+M47+O47</f>
        <v>443.99</v>
      </c>
      <c r="Q47" s="8" t="n">
        <f aca="false">ROUND(K47/H47,2)</f>
        <v>75.25</v>
      </c>
      <c r="R47" s="6" t="n">
        <f aca="false">F47*H47</f>
        <v>740</v>
      </c>
      <c r="S47" s="6" t="n">
        <f aca="false">ROUND(G47*H47/1.18,2)</f>
        <v>376.27</v>
      </c>
      <c r="T47" s="6" t="n">
        <f aca="false">ROUND(S47-K47,2)</f>
        <v>0</v>
      </c>
      <c r="U47" s="5" t="n">
        <v>2</v>
      </c>
      <c r="V47" s="9" t="s">
        <v>27</v>
      </c>
    </row>
    <row r="48" customFormat="false" ht="15" hidden="false" customHeight="false" outlineLevel="0" collapsed="false">
      <c r="A48" s="4" t="n">
        <v>47</v>
      </c>
      <c r="B48" s="4" t="s">
        <v>73</v>
      </c>
      <c r="C48" s="4" t="s">
        <v>125</v>
      </c>
      <c r="D48" s="4" t="s">
        <v>126</v>
      </c>
      <c r="E48" s="5" t="s">
        <v>76</v>
      </c>
      <c r="F48" s="6" t="n">
        <v>204</v>
      </c>
      <c r="G48" s="6" t="n">
        <v>122.4</v>
      </c>
      <c r="H48" s="5" t="n">
        <v>5</v>
      </c>
      <c r="I48" s="5" t="s">
        <v>26</v>
      </c>
      <c r="J48" s="7" t="n">
        <v>0.4</v>
      </c>
      <c r="K48" s="6" t="n">
        <v>518.64</v>
      </c>
      <c r="L48" s="7" t="n">
        <v>0.09</v>
      </c>
      <c r="M48" s="6" t="n">
        <v>46.68</v>
      </c>
      <c r="N48" s="7" t="n">
        <v>0.09</v>
      </c>
      <c r="O48" s="6" t="n">
        <v>46.68</v>
      </c>
      <c r="P48" s="6" t="n">
        <f aca="false">K48+M48+O48</f>
        <v>612</v>
      </c>
      <c r="Q48" s="8" t="n">
        <f aca="false">ROUND(K48/H48,2)</f>
        <v>103.73</v>
      </c>
      <c r="R48" s="6" t="n">
        <f aca="false">F48*H48</f>
        <v>1020</v>
      </c>
      <c r="S48" s="6" t="n">
        <f aca="false">ROUND(G48*H48/1.18,2)</f>
        <v>518.64</v>
      </c>
      <c r="T48" s="6" t="n">
        <f aca="false">ROUND(S48-K48,2)</f>
        <v>0</v>
      </c>
      <c r="U48" s="5" t="n">
        <v>2</v>
      </c>
      <c r="V48" s="9" t="s">
        <v>27</v>
      </c>
    </row>
    <row r="49" customFormat="false" ht="15" hidden="false" customHeight="false" outlineLevel="0" collapsed="false">
      <c r="A49" s="4" t="n">
        <v>48</v>
      </c>
      <c r="B49" s="4" t="s">
        <v>73</v>
      </c>
      <c r="C49" s="4" t="s">
        <v>127</v>
      </c>
      <c r="D49" s="4" t="s">
        <v>128</v>
      </c>
      <c r="E49" s="5" t="s">
        <v>76</v>
      </c>
      <c r="F49" s="6" t="n">
        <v>149</v>
      </c>
      <c r="G49" s="6" t="n">
        <v>89.4</v>
      </c>
      <c r="H49" s="5" t="n">
        <v>5</v>
      </c>
      <c r="I49" s="5" t="s">
        <v>26</v>
      </c>
      <c r="J49" s="7" t="n">
        <v>0.4</v>
      </c>
      <c r="K49" s="6" t="n">
        <v>378.81</v>
      </c>
      <c r="L49" s="7" t="n">
        <v>0.09</v>
      </c>
      <c r="M49" s="6" t="n">
        <v>34.09</v>
      </c>
      <c r="N49" s="7" t="n">
        <v>0.09</v>
      </c>
      <c r="O49" s="6" t="n">
        <v>34.09</v>
      </c>
      <c r="P49" s="6" t="n">
        <f aca="false">K49+M49+O49</f>
        <v>446.99</v>
      </c>
      <c r="Q49" s="8" t="n">
        <f aca="false">ROUND(K49/H49,2)</f>
        <v>75.76</v>
      </c>
      <c r="R49" s="6" t="n">
        <f aca="false">F49*H49</f>
        <v>745</v>
      </c>
      <c r="S49" s="6" t="n">
        <f aca="false">ROUND(G49*H49/1.18,2)</f>
        <v>378.81</v>
      </c>
      <c r="T49" s="6" t="n">
        <f aca="false">ROUND(S49-K49,2)</f>
        <v>0</v>
      </c>
      <c r="U49" s="5" t="n">
        <v>2</v>
      </c>
      <c r="V49" s="9" t="s">
        <v>27</v>
      </c>
    </row>
    <row r="50" customFormat="false" ht="15" hidden="false" customHeight="false" outlineLevel="0" collapsed="false">
      <c r="A50" s="4" t="n">
        <v>49</v>
      </c>
      <c r="B50" s="4" t="s">
        <v>73</v>
      </c>
      <c r="C50" s="4" t="s">
        <v>129</v>
      </c>
      <c r="D50" s="4" t="s">
        <v>130</v>
      </c>
      <c r="E50" s="5" t="s">
        <v>76</v>
      </c>
      <c r="F50" s="6" t="n">
        <v>162</v>
      </c>
      <c r="G50" s="6" t="n">
        <v>97.2</v>
      </c>
      <c r="H50" s="5" t="n">
        <v>5</v>
      </c>
      <c r="I50" s="5" t="s">
        <v>26</v>
      </c>
      <c r="J50" s="7" t="n">
        <v>0.4</v>
      </c>
      <c r="K50" s="6" t="n">
        <v>411.86</v>
      </c>
      <c r="L50" s="7" t="n">
        <v>0.09</v>
      </c>
      <c r="M50" s="6" t="n">
        <v>37.07</v>
      </c>
      <c r="N50" s="7" t="n">
        <v>0.09</v>
      </c>
      <c r="O50" s="6" t="n">
        <v>37.07</v>
      </c>
      <c r="P50" s="6" t="n">
        <f aca="false">K50+M50+O50</f>
        <v>486</v>
      </c>
      <c r="Q50" s="8" t="n">
        <f aca="false">ROUND(K50/H50,2)</f>
        <v>82.37</v>
      </c>
      <c r="R50" s="6" t="n">
        <f aca="false">F50*H50</f>
        <v>810</v>
      </c>
      <c r="S50" s="6" t="n">
        <f aca="false">ROUND(G50*H50/1.18,2)</f>
        <v>411.86</v>
      </c>
      <c r="T50" s="6" t="n">
        <f aca="false">ROUND(S50-K50,2)</f>
        <v>0</v>
      </c>
      <c r="U50" s="5" t="n">
        <v>2</v>
      </c>
      <c r="V50" s="9" t="s">
        <v>27</v>
      </c>
    </row>
    <row r="51" customFormat="false" ht="15" hidden="false" customHeight="false" outlineLevel="0" collapsed="false">
      <c r="A51" s="4" t="n">
        <v>50</v>
      </c>
      <c r="B51" s="4" t="s">
        <v>73</v>
      </c>
      <c r="C51" s="4" t="s">
        <v>131</v>
      </c>
      <c r="D51" s="4" t="s">
        <v>132</v>
      </c>
      <c r="E51" s="5" t="s">
        <v>76</v>
      </c>
      <c r="F51" s="6" t="n">
        <v>156</v>
      </c>
      <c r="G51" s="6" t="n">
        <v>93.6</v>
      </c>
      <c r="H51" s="5" t="n">
        <v>5</v>
      </c>
      <c r="I51" s="5" t="s">
        <v>26</v>
      </c>
      <c r="J51" s="7" t="n">
        <v>0.4</v>
      </c>
      <c r="K51" s="6" t="n">
        <v>396.61</v>
      </c>
      <c r="L51" s="7" t="n">
        <v>0.09</v>
      </c>
      <c r="M51" s="6" t="n">
        <v>35.69</v>
      </c>
      <c r="N51" s="7" t="n">
        <v>0.09</v>
      </c>
      <c r="O51" s="6" t="n">
        <v>35.69</v>
      </c>
      <c r="P51" s="6" t="n">
        <f aca="false">K51+M51+O51</f>
        <v>467.99</v>
      </c>
      <c r="Q51" s="8" t="n">
        <f aca="false">ROUND(K51/H51,2)</f>
        <v>79.32</v>
      </c>
      <c r="R51" s="6" t="n">
        <f aca="false">F51*H51</f>
        <v>780</v>
      </c>
      <c r="S51" s="6" t="n">
        <f aca="false">ROUND(G51*H51/1.18,2)</f>
        <v>396.61</v>
      </c>
      <c r="T51" s="6" t="n">
        <f aca="false">ROUND(S51-K51,2)</f>
        <v>0</v>
      </c>
      <c r="U51" s="5" t="n">
        <v>2</v>
      </c>
      <c r="V51" s="9" t="s">
        <v>27</v>
      </c>
    </row>
    <row r="52" customFormat="false" ht="15" hidden="false" customHeight="false" outlineLevel="0" collapsed="false">
      <c r="A52" s="4" t="n">
        <v>51</v>
      </c>
      <c r="B52" s="4" t="s">
        <v>73</v>
      </c>
      <c r="C52" s="4" t="s">
        <v>133</v>
      </c>
      <c r="D52" s="4" t="s">
        <v>134</v>
      </c>
      <c r="E52" s="5" t="s">
        <v>76</v>
      </c>
      <c r="F52" s="6" t="n">
        <v>232</v>
      </c>
      <c r="G52" s="6" t="n">
        <v>139.2</v>
      </c>
      <c r="H52" s="5" t="n">
        <v>5</v>
      </c>
      <c r="I52" s="5" t="s">
        <v>26</v>
      </c>
      <c r="J52" s="7" t="n">
        <v>0.4</v>
      </c>
      <c r="K52" s="6" t="n">
        <v>589.83</v>
      </c>
      <c r="L52" s="7" t="n">
        <v>0.09</v>
      </c>
      <c r="M52" s="6" t="n">
        <v>53.08</v>
      </c>
      <c r="N52" s="7" t="n">
        <v>0.09</v>
      </c>
      <c r="O52" s="6" t="n">
        <v>53.08</v>
      </c>
      <c r="P52" s="6" t="n">
        <f aca="false">K52+M52+O52</f>
        <v>695.99</v>
      </c>
      <c r="Q52" s="8" t="n">
        <f aca="false">ROUND(K52/H52,2)</f>
        <v>117.97</v>
      </c>
      <c r="R52" s="6" t="n">
        <f aca="false">F52*H52</f>
        <v>1160</v>
      </c>
      <c r="S52" s="6" t="n">
        <f aca="false">ROUND(G52*H52/1.18,2)</f>
        <v>589.83</v>
      </c>
      <c r="T52" s="6" t="n">
        <f aca="false">ROUND(S52-K52,2)</f>
        <v>0</v>
      </c>
      <c r="U52" s="5" t="n">
        <v>2</v>
      </c>
      <c r="V52" s="9" t="s">
        <v>27</v>
      </c>
    </row>
    <row r="53" customFormat="false" ht="15" hidden="false" customHeight="false" outlineLevel="0" collapsed="false">
      <c r="A53" s="4" t="n">
        <v>52</v>
      </c>
      <c r="B53" s="4" t="s">
        <v>135</v>
      </c>
      <c r="C53" s="4" t="s">
        <v>136</v>
      </c>
      <c r="D53" s="4" t="s">
        <v>137</v>
      </c>
      <c r="E53" s="5" t="s">
        <v>138</v>
      </c>
      <c r="F53" s="6" t="n">
        <v>20</v>
      </c>
      <c r="G53" s="6" t="n">
        <v>11.6</v>
      </c>
      <c r="H53" s="5" t="n">
        <v>10</v>
      </c>
      <c r="I53" s="5" t="s">
        <v>26</v>
      </c>
      <c r="J53" s="7" t="n">
        <v>0.42</v>
      </c>
      <c r="K53" s="6" t="n">
        <v>98.31</v>
      </c>
      <c r="L53" s="7" t="n">
        <v>0.09</v>
      </c>
      <c r="M53" s="6" t="n">
        <v>8.84</v>
      </c>
      <c r="N53" s="7" t="n">
        <v>0.09</v>
      </c>
      <c r="O53" s="6" t="n">
        <v>8.84</v>
      </c>
      <c r="P53" s="6" t="n">
        <f aca="false">K53+M53+O53</f>
        <v>115.99</v>
      </c>
      <c r="Q53" s="8" t="n">
        <f aca="false">ROUND(K53/H53,2)</f>
        <v>9.83</v>
      </c>
      <c r="R53" s="6" t="n">
        <f aca="false">F53*H53</f>
        <v>200</v>
      </c>
      <c r="S53" s="6" t="n">
        <f aca="false">ROUND(G53*H53/1.18,2)</f>
        <v>98.31</v>
      </c>
      <c r="T53" s="6" t="n">
        <f aca="false">ROUND(S53-K53,2)</f>
        <v>0</v>
      </c>
      <c r="U53" s="5" t="n">
        <v>2</v>
      </c>
      <c r="V53" s="9" t="s">
        <v>27</v>
      </c>
    </row>
    <row r="54" customFormat="false" ht="15" hidden="false" customHeight="false" outlineLevel="0" collapsed="false">
      <c r="A54" s="4" t="n">
        <v>53</v>
      </c>
      <c r="B54" s="4" t="s">
        <v>135</v>
      </c>
      <c r="C54" s="4" t="s">
        <v>139</v>
      </c>
      <c r="D54" s="4" t="s">
        <v>140</v>
      </c>
      <c r="E54" s="5" t="s">
        <v>138</v>
      </c>
      <c r="F54" s="6" t="n">
        <v>75</v>
      </c>
      <c r="G54" s="6" t="n">
        <v>43.5</v>
      </c>
      <c r="H54" s="5" t="n">
        <v>5</v>
      </c>
      <c r="I54" s="5" t="s">
        <v>26</v>
      </c>
      <c r="J54" s="7" t="n">
        <v>0.42</v>
      </c>
      <c r="K54" s="6" t="n">
        <v>184.32</v>
      </c>
      <c r="L54" s="7" t="n">
        <v>0.09</v>
      </c>
      <c r="M54" s="6" t="n">
        <v>16.59</v>
      </c>
      <c r="N54" s="7" t="n">
        <v>0.09</v>
      </c>
      <c r="O54" s="6" t="n">
        <v>16.59</v>
      </c>
      <c r="P54" s="6" t="n">
        <f aca="false">K54+M54+O54</f>
        <v>217.5</v>
      </c>
      <c r="Q54" s="8" t="n">
        <f aca="false">ROUND(K54/H54,2)</f>
        <v>36.86</v>
      </c>
      <c r="R54" s="6" t="n">
        <f aca="false">F54*H54</f>
        <v>375</v>
      </c>
      <c r="S54" s="6" t="n">
        <f aca="false">ROUND(G54*H54/1.18,2)</f>
        <v>184.32</v>
      </c>
      <c r="T54" s="6" t="n">
        <f aca="false">ROUND(S54-K54,2)</f>
        <v>0</v>
      </c>
      <c r="U54" s="5" t="n">
        <v>2</v>
      </c>
      <c r="V54" s="9" t="s">
        <v>27</v>
      </c>
    </row>
    <row r="55" customFormat="false" ht="15" hidden="false" customHeight="false" outlineLevel="0" collapsed="false">
      <c r="A55" s="4" t="n">
        <v>54</v>
      </c>
      <c r="B55" s="4" t="s">
        <v>135</v>
      </c>
      <c r="C55" s="4" t="s">
        <v>141</v>
      </c>
      <c r="D55" s="4" t="s">
        <v>142</v>
      </c>
      <c r="E55" s="5" t="s">
        <v>138</v>
      </c>
      <c r="F55" s="6" t="n">
        <v>25</v>
      </c>
      <c r="G55" s="6" t="n">
        <v>14.5</v>
      </c>
      <c r="H55" s="5" t="n">
        <v>25</v>
      </c>
      <c r="I55" s="5" t="s">
        <v>26</v>
      </c>
      <c r="J55" s="7" t="n">
        <v>0.42</v>
      </c>
      <c r="K55" s="6" t="n">
        <v>307.2</v>
      </c>
      <c r="L55" s="7" t="n">
        <v>0.09</v>
      </c>
      <c r="M55" s="6" t="n">
        <v>27.65</v>
      </c>
      <c r="N55" s="7" t="n">
        <v>0.09</v>
      </c>
      <c r="O55" s="6" t="n">
        <v>27.65</v>
      </c>
      <c r="P55" s="6" t="n">
        <f aca="false">K55+M55+O55</f>
        <v>362.5</v>
      </c>
      <c r="Q55" s="8" t="n">
        <f aca="false">ROUND(K55/H55,2)</f>
        <v>12.29</v>
      </c>
      <c r="R55" s="6" t="n">
        <f aca="false">F55*H55</f>
        <v>625</v>
      </c>
      <c r="S55" s="6" t="n">
        <f aca="false">ROUND(G55*H55/1.18,2)</f>
        <v>307.2</v>
      </c>
      <c r="T55" s="6" t="n">
        <f aca="false">ROUND(S55-K55,2)</f>
        <v>0</v>
      </c>
      <c r="U55" s="5" t="n">
        <v>2</v>
      </c>
      <c r="V55" s="9" t="s">
        <v>27</v>
      </c>
    </row>
    <row r="56" customFormat="false" ht="15" hidden="false" customHeight="false" outlineLevel="0" collapsed="false">
      <c r="A56" s="4" t="n">
        <v>55</v>
      </c>
      <c r="B56" s="4" t="s">
        <v>135</v>
      </c>
      <c r="C56" s="4" t="s">
        <v>143</v>
      </c>
      <c r="D56" s="4" t="s">
        <v>144</v>
      </c>
      <c r="E56" s="5" t="s">
        <v>138</v>
      </c>
      <c r="F56" s="6" t="n">
        <v>25</v>
      </c>
      <c r="G56" s="6" t="n">
        <v>14.5</v>
      </c>
      <c r="H56" s="5" t="n">
        <v>10</v>
      </c>
      <c r="I56" s="5" t="s">
        <v>26</v>
      </c>
      <c r="J56" s="7" t="n">
        <v>0.42</v>
      </c>
      <c r="K56" s="6" t="n">
        <v>122.88</v>
      </c>
      <c r="L56" s="7" t="n">
        <v>0.09</v>
      </c>
      <c r="M56" s="6" t="n">
        <v>11.06</v>
      </c>
      <c r="N56" s="7" t="n">
        <v>0.09</v>
      </c>
      <c r="O56" s="6" t="n">
        <v>11.06</v>
      </c>
      <c r="P56" s="6" t="n">
        <f aca="false">K56+M56+O56</f>
        <v>145</v>
      </c>
      <c r="Q56" s="8" t="n">
        <f aca="false">ROUND(K56/H56,2)</f>
        <v>12.29</v>
      </c>
      <c r="R56" s="6" t="n">
        <f aca="false">F56*H56</f>
        <v>250</v>
      </c>
      <c r="S56" s="6" t="n">
        <f aca="false">ROUND(G56*H56/1.18,2)</f>
        <v>122.88</v>
      </c>
      <c r="T56" s="6" t="n">
        <f aca="false">ROUND(S56-K56,2)</f>
        <v>0</v>
      </c>
      <c r="U56" s="5" t="n">
        <v>2</v>
      </c>
      <c r="V56" s="9" t="s">
        <v>27</v>
      </c>
    </row>
    <row r="57" customFormat="false" ht="15" hidden="false" customHeight="false" outlineLevel="0" collapsed="false">
      <c r="A57" s="4" t="n">
        <v>56</v>
      </c>
      <c r="B57" s="4" t="s">
        <v>135</v>
      </c>
      <c r="C57" s="4" t="s">
        <v>145</v>
      </c>
      <c r="D57" s="4" t="s">
        <v>146</v>
      </c>
      <c r="E57" s="5" t="s">
        <v>138</v>
      </c>
      <c r="F57" s="6" t="n">
        <v>90</v>
      </c>
      <c r="G57" s="6" t="n">
        <v>52.2</v>
      </c>
      <c r="H57" s="5" t="n">
        <v>10</v>
      </c>
      <c r="I57" s="5" t="s">
        <v>26</v>
      </c>
      <c r="J57" s="7" t="n">
        <v>0.42</v>
      </c>
      <c r="K57" s="6" t="n">
        <v>442.37</v>
      </c>
      <c r="L57" s="7" t="n">
        <v>0.09</v>
      </c>
      <c r="M57" s="6" t="n">
        <v>39.81</v>
      </c>
      <c r="N57" s="7" t="n">
        <v>0.09</v>
      </c>
      <c r="O57" s="6" t="n">
        <v>39.81</v>
      </c>
      <c r="P57" s="6" t="n">
        <f aca="false">K57+M57+O57</f>
        <v>521.99</v>
      </c>
      <c r="Q57" s="8" t="n">
        <f aca="false">ROUND(K57/H57,2)</f>
        <v>44.24</v>
      </c>
      <c r="R57" s="6" t="n">
        <f aca="false">F57*H57</f>
        <v>900</v>
      </c>
      <c r="S57" s="6" t="n">
        <f aca="false">ROUND(G57*H57/1.18,2)</f>
        <v>442.37</v>
      </c>
      <c r="T57" s="6" t="n">
        <f aca="false">ROUND(S57-K57,2)</f>
        <v>0</v>
      </c>
      <c r="U57" s="5" t="n">
        <v>2</v>
      </c>
      <c r="V57" s="9" t="s">
        <v>27</v>
      </c>
    </row>
    <row r="58" customFormat="false" ht="15" hidden="false" customHeight="false" outlineLevel="0" collapsed="false">
      <c r="A58" s="4" t="n">
        <v>57</v>
      </c>
      <c r="B58" s="4" t="s">
        <v>135</v>
      </c>
      <c r="C58" s="4" t="s">
        <v>147</v>
      </c>
      <c r="D58" s="4" t="s">
        <v>148</v>
      </c>
      <c r="E58" s="5" t="s">
        <v>138</v>
      </c>
      <c r="F58" s="6" t="n">
        <v>178</v>
      </c>
      <c r="G58" s="6" t="n">
        <v>103.24</v>
      </c>
      <c r="H58" s="5" t="n">
        <v>7</v>
      </c>
      <c r="I58" s="5" t="s">
        <v>149</v>
      </c>
      <c r="J58" s="7" t="n">
        <v>0.42</v>
      </c>
      <c r="K58" s="6" t="n">
        <v>612.44</v>
      </c>
      <c r="L58" s="7" t="n">
        <v>0.09</v>
      </c>
      <c r="M58" s="6" t="n">
        <v>55.12</v>
      </c>
      <c r="N58" s="7" t="n">
        <v>0.09</v>
      </c>
      <c r="O58" s="6" t="n">
        <v>55.12</v>
      </c>
      <c r="P58" s="6" t="n">
        <f aca="false">K58+M58+O58</f>
        <v>722.68</v>
      </c>
      <c r="Q58" s="8" t="n">
        <f aca="false">ROUND(K58/H58,2)</f>
        <v>87.49</v>
      </c>
      <c r="R58" s="6" t="n">
        <f aca="false">F58*H58</f>
        <v>1246</v>
      </c>
      <c r="S58" s="6" t="n">
        <f aca="false">ROUND(G58*H58/1.18,2)</f>
        <v>612.44</v>
      </c>
      <c r="T58" s="6" t="n">
        <f aca="false">ROUND(S58-K58,2)</f>
        <v>0</v>
      </c>
      <c r="U58" s="5" t="n">
        <v>2</v>
      </c>
      <c r="V58" s="9" t="s">
        <v>27</v>
      </c>
    </row>
    <row r="59" customFormat="false" ht="15" hidden="false" customHeight="false" outlineLevel="0" collapsed="false">
      <c r="A59" s="4" t="n">
        <v>58</v>
      </c>
      <c r="B59" s="4" t="s">
        <v>135</v>
      </c>
      <c r="C59" s="4" t="s">
        <v>150</v>
      </c>
      <c r="D59" s="4" t="s">
        <v>151</v>
      </c>
      <c r="E59" s="5" t="s">
        <v>138</v>
      </c>
      <c r="F59" s="6" t="n">
        <v>80</v>
      </c>
      <c r="G59" s="6" t="n">
        <v>46.4</v>
      </c>
      <c r="H59" s="5" t="n">
        <v>10</v>
      </c>
      <c r="I59" s="5" t="s">
        <v>149</v>
      </c>
      <c r="J59" s="7" t="n">
        <v>0.42</v>
      </c>
      <c r="K59" s="6" t="n">
        <v>393.22</v>
      </c>
      <c r="L59" s="7" t="n">
        <v>0.09</v>
      </c>
      <c r="M59" s="6" t="n">
        <v>35.39</v>
      </c>
      <c r="N59" s="7" t="n">
        <v>0.09</v>
      </c>
      <c r="O59" s="6" t="n">
        <v>35.39</v>
      </c>
      <c r="P59" s="6" t="n">
        <f aca="false">K59+M59+O59</f>
        <v>464</v>
      </c>
      <c r="Q59" s="8" t="n">
        <f aca="false">ROUND(K59/H59,2)</f>
        <v>39.32</v>
      </c>
      <c r="R59" s="6" t="n">
        <f aca="false">F59*H59</f>
        <v>800</v>
      </c>
      <c r="S59" s="6" t="n">
        <f aca="false">ROUND(G59*H59/1.18,2)</f>
        <v>393.22</v>
      </c>
      <c r="T59" s="6" t="n">
        <f aca="false">ROUND(S59-K59,2)</f>
        <v>0</v>
      </c>
      <c r="U59" s="5" t="n">
        <v>3</v>
      </c>
      <c r="V59" s="9" t="s">
        <v>27</v>
      </c>
    </row>
    <row r="60" customFormat="false" ht="15" hidden="false" customHeight="false" outlineLevel="0" collapsed="false">
      <c r="A60" s="4" t="n">
        <v>59</v>
      </c>
      <c r="B60" s="4" t="s">
        <v>135</v>
      </c>
      <c r="C60" s="4" t="s">
        <v>152</v>
      </c>
      <c r="D60" s="4" t="s">
        <v>153</v>
      </c>
      <c r="E60" s="5" t="s">
        <v>138</v>
      </c>
      <c r="F60" s="6" t="n">
        <v>228</v>
      </c>
      <c r="G60" s="6" t="n">
        <v>132.24</v>
      </c>
      <c r="H60" s="5" t="n">
        <v>2</v>
      </c>
      <c r="I60" s="5" t="s">
        <v>149</v>
      </c>
      <c r="J60" s="7" t="n">
        <v>0.42</v>
      </c>
      <c r="K60" s="6" t="n">
        <v>224.14</v>
      </c>
      <c r="L60" s="7" t="n">
        <v>0.09</v>
      </c>
      <c r="M60" s="6" t="n">
        <v>20.17</v>
      </c>
      <c r="N60" s="7" t="n">
        <v>0.09</v>
      </c>
      <c r="O60" s="6" t="n">
        <v>20.17</v>
      </c>
      <c r="P60" s="6" t="n">
        <f aca="false">K60+M60+O60</f>
        <v>264.48</v>
      </c>
      <c r="Q60" s="8" t="n">
        <f aca="false">ROUND(K60/H60,2)</f>
        <v>112.07</v>
      </c>
      <c r="R60" s="6" t="n">
        <f aca="false">F60*H60</f>
        <v>456</v>
      </c>
      <c r="S60" s="6" t="n">
        <f aca="false">ROUND(G60*H60/1.18,2)</f>
        <v>224.14</v>
      </c>
      <c r="T60" s="6" t="n">
        <f aca="false">ROUND(S60-K60,2)</f>
        <v>0</v>
      </c>
      <c r="U60" s="5" t="n">
        <v>3</v>
      </c>
      <c r="V60" s="9" t="s">
        <v>27</v>
      </c>
    </row>
    <row r="61" customFormat="false" ht="15" hidden="false" customHeight="false" outlineLevel="0" collapsed="false">
      <c r="A61" s="4" t="n">
        <v>60</v>
      </c>
      <c r="B61" s="4" t="s">
        <v>135</v>
      </c>
      <c r="C61" s="4" t="s">
        <v>154</v>
      </c>
      <c r="D61" s="4" t="s">
        <v>155</v>
      </c>
      <c r="E61" s="5" t="s">
        <v>138</v>
      </c>
      <c r="F61" s="6" t="n">
        <v>265</v>
      </c>
      <c r="G61" s="6" t="n">
        <v>153.7</v>
      </c>
      <c r="H61" s="5" t="n">
        <v>5</v>
      </c>
      <c r="I61" s="5" t="s">
        <v>149</v>
      </c>
      <c r="J61" s="7" t="n">
        <v>0.42</v>
      </c>
      <c r="K61" s="6" t="n">
        <v>651.27</v>
      </c>
      <c r="L61" s="7" t="n">
        <v>0.09</v>
      </c>
      <c r="M61" s="6" t="n">
        <v>58.61</v>
      </c>
      <c r="N61" s="7" t="n">
        <v>0.09</v>
      </c>
      <c r="O61" s="6" t="n">
        <v>58.61</v>
      </c>
      <c r="P61" s="6" t="n">
        <f aca="false">K61+M61+O61</f>
        <v>768.49</v>
      </c>
      <c r="Q61" s="8" t="n">
        <f aca="false">ROUND(K61/H61,2)</f>
        <v>130.25</v>
      </c>
      <c r="R61" s="6" t="n">
        <f aca="false">F61*H61</f>
        <v>1325</v>
      </c>
      <c r="S61" s="6" t="n">
        <f aca="false">ROUND(G61*H61/1.18,2)</f>
        <v>651.27</v>
      </c>
      <c r="T61" s="6" t="n">
        <f aca="false">ROUND(S61-K61,2)</f>
        <v>0</v>
      </c>
      <c r="U61" s="5" t="n">
        <v>3</v>
      </c>
      <c r="V61" s="9" t="s">
        <v>27</v>
      </c>
    </row>
    <row r="62" customFormat="false" ht="15" hidden="false" customHeight="false" outlineLevel="0" collapsed="false">
      <c r="A62" s="4" t="n">
        <v>61</v>
      </c>
      <c r="B62" s="4" t="s">
        <v>135</v>
      </c>
      <c r="C62" s="4" t="s">
        <v>156</v>
      </c>
      <c r="D62" s="4" t="s">
        <v>157</v>
      </c>
      <c r="E62" s="5" t="s">
        <v>138</v>
      </c>
      <c r="F62" s="6" t="n">
        <v>30</v>
      </c>
      <c r="G62" s="6" t="n">
        <v>17.4</v>
      </c>
      <c r="H62" s="5" t="n">
        <v>10</v>
      </c>
      <c r="I62" s="5" t="s">
        <v>26</v>
      </c>
      <c r="J62" s="7" t="n">
        <v>0.42</v>
      </c>
      <c r="K62" s="6" t="n">
        <v>147.46</v>
      </c>
      <c r="L62" s="7" t="n">
        <v>0.09</v>
      </c>
      <c r="M62" s="6" t="n">
        <v>13.27</v>
      </c>
      <c r="N62" s="7" t="n">
        <v>0.09</v>
      </c>
      <c r="O62" s="6" t="n">
        <v>13.27</v>
      </c>
      <c r="P62" s="6" t="n">
        <f aca="false">K62+M62+O62</f>
        <v>174</v>
      </c>
      <c r="Q62" s="8" t="n">
        <f aca="false">ROUND(K62/H62,2)</f>
        <v>14.75</v>
      </c>
      <c r="R62" s="6" t="n">
        <f aca="false">F62*H62</f>
        <v>300</v>
      </c>
      <c r="S62" s="6" t="n">
        <f aca="false">ROUND(G62*H62/1.18,2)</f>
        <v>147.46</v>
      </c>
      <c r="T62" s="6" t="n">
        <f aca="false">ROUND(S62-K62,2)</f>
        <v>0</v>
      </c>
      <c r="U62" s="5" t="n">
        <v>3</v>
      </c>
      <c r="V62" s="9" t="s">
        <v>27</v>
      </c>
    </row>
    <row r="63" customFormat="false" ht="15" hidden="false" customHeight="false" outlineLevel="0" collapsed="false">
      <c r="A63" s="4" t="n">
        <v>62</v>
      </c>
      <c r="B63" s="4" t="s">
        <v>135</v>
      </c>
      <c r="C63" s="4" t="s">
        <v>158</v>
      </c>
      <c r="D63" s="4" t="s">
        <v>159</v>
      </c>
      <c r="E63" s="5" t="s">
        <v>138</v>
      </c>
      <c r="F63" s="6" t="n">
        <v>254</v>
      </c>
      <c r="G63" s="6" t="n">
        <v>147.32</v>
      </c>
      <c r="H63" s="5" t="n">
        <v>10</v>
      </c>
      <c r="I63" s="5" t="s">
        <v>149</v>
      </c>
      <c r="J63" s="7" t="n">
        <v>0.42</v>
      </c>
      <c r="K63" s="6" t="n">
        <v>1248.47</v>
      </c>
      <c r="L63" s="7" t="n">
        <v>0.09</v>
      </c>
      <c r="M63" s="6" t="n">
        <v>112.36</v>
      </c>
      <c r="N63" s="7" t="n">
        <v>0.09</v>
      </c>
      <c r="O63" s="6" t="n">
        <v>112.36</v>
      </c>
      <c r="P63" s="6" t="n">
        <f aca="false">K63+M63+O63</f>
        <v>1473.19</v>
      </c>
      <c r="Q63" s="8" t="n">
        <f aca="false">ROUND(K63/H63,2)</f>
        <v>124.85</v>
      </c>
      <c r="R63" s="6" t="n">
        <f aca="false">F63*H63</f>
        <v>2540</v>
      </c>
      <c r="S63" s="6" t="n">
        <f aca="false">ROUND(G63*H63/1.18,2)</f>
        <v>1248.47</v>
      </c>
      <c r="T63" s="6" t="n">
        <f aca="false">ROUND(S63-K63,2)</f>
        <v>0</v>
      </c>
      <c r="U63" s="5" t="n">
        <v>3</v>
      </c>
      <c r="V63" s="9" t="s">
        <v>27</v>
      </c>
    </row>
    <row r="64" customFormat="false" ht="15" hidden="false" customHeight="false" outlineLevel="0" collapsed="false">
      <c r="A64" s="4" t="n">
        <v>63</v>
      </c>
      <c r="B64" s="4" t="s">
        <v>135</v>
      </c>
      <c r="C64" s="4" t="s">
        <v>160</v>
      </c>
      <c r="D64" s="4" t="s">
        <v>161</v>
      </c>
      <c r="E64" s="5" t="s">
        <v>138</v>
      </c>
      <c r="F64" s="6" t="n">
        <v>165</v>
      </c>
      <c r="G64" s="6" t="n">
        <v>95.7</v>
      </c>
      <c r="H64" s="5" t="n">
        <v>5</v>
      </c>
      <c r="I64" s="5" t="s">
        <v>149</v>
      </c>
      <c r="J64" s="7" t="n">
        <v>0.42</v>
      </c>
      <c r="K64" s="6" t="n">
        <v>405.51</v>
      </c>
      <c r="L64" s="7" t="n">
        <v>0.09</v>
      </c>
      <c r="M64" s="6" t="n">
        <v>36.49</v>
      </c>
      <c r="N64" s="7" t="n">
        <v>0.09</v>
      </c>
      <c r="O64" s="6" t="n">
        <v>36.49</v>
      </c>
      <c r="P64" s="6" t="n">
        <f aca="false">K64+M64+O64</f>
        <v>478.49</v>
      </c>
      <c r="Q64" s="8" t="n">
        <f aca="false">ROUND(K64/H64,2)</f>
        <v>81.1</v>
      </c>
      <c r="R64" s="6" t="n">
        <f aca="false">F64*H64</f>
        <v>825</v>
      </c>
      <c r="S64" s="6" t="n">
        <f aca="false">ROUND(G64*H64/1.18,2)</f>
        <v>405.51</v>
      </c>
      <c r="T64" s="6" t="n">
        <f aca="false">ROUND(S64-K64,2)</f>
        <v>0</v>
      </c>
      <c r="U64" s="5" t="n">
        <v>3</v>
      </c>
      <c r="V64" s="9" t="s">
        <v>27</v>
      </c>
    </row>
    <row r="65" customFormat="false" ht="15" hidden="false" customHeight="false" outlineLevel="0" collapsed="false">
      <c r="A65" s="4" t="n">
        <v>64</v>
      </c>
      <c r="B65" s="4" t="s">
        <v>135</v>
      </c>
      <c r="C65" s="4" t="s">
        <v>162</v>
      </c>
      <c r="D65" s="4" t="s">
        <v>163</v>
      </c>
      <c r="E65" s="5" t="s">
        <v>138</v>
      </c>
      <c r="F65" s="6" t="n">
        <v>82</v>
      </c>
      <c r="G65" s="6" t="n">
        <v>47.56</v>
      </c>
      <c r="H65" s="5" t="n">
        <v>10</v>
      </c>
      <c r="I65" s="5" t="s">
        <v>149</v>
      </c>
      <c r="J65" s="7" t="n">
        <v>0.42</v>
      </c>
      <c r="K65" s="6" t="n">
        <v>403.05</v>
      </c>
      <c r="L65" s="7" t="n">
        <v>0.09</v>
      </c>
      <c r="M65" s="6" t="n">
        <v>36.27</v>
      </c>
      <c r="N65" s="7" t="n">
        <v>0.09</v>
      </c>
      <c r="O65" s="6" t="n">
        <v>36.27</v>
      </c>
      <c r="P65" s="6" t="n">
        <f aca="false">K65+M65+O65</f>
        <v>475.59</v>
      </c>
      <c r="Q65" s="8" t="n">
        <f aca="false">ROUND(K65/H65,2)</f>
        <v>40.31</v>
      </c>
      <c r="R65" s="6" t="n">
        <f aca="false">F65*H65</f>
        <v>820</v>
      </c>
      <c r="S65" s="6" t="n">
        <f aca="false">ROUND(G65*H65/1.18,2)</f>
        <v>403.05</v>
      </c>
      <c r="T65" s="6" t="n">
        <f aca="false">ROUND(S65-K65,2)</f>
        <v>0</v>
      </c>
      <c r="U65" s="5" t="n">
        <v>3</v>
      </c>
      <c r="V65" s="9" t="s">
        <v>27</v>
      </c>
    </row>
    <row r="66" customFormat="false" ht="15" hidden="false" customHeight="false" outlineLevel="0" collapsed="false">
      <c r="A66" s="4" t="n">
        <v>65</v>
      </c>
      <c r="B66" s="4" t="s">
        <v>135</v>
      </c>
      <c r="C66" s="4" t="s">
        <v>164</v>
      </c>
      <c r="D66" s="4" t="s">
        <v>165</v>
      </c>
      <c r="E66" s="5" t="s">
        <v>138</v>
      </c>
      <c r="F66" s="6" t="n">
        <v>225</v>
      </c>
      <c r="G66" s="6" t="n">
        <v>130.5</v>
      </c>
      <c r="H66" s="5" t="n">
        <v>5</v>
      </c>
      <c r="I66" s="5" t="s">
        <v>149</v>
      </c>
      <c r="J66" s="7" t="n">
        <v>0.42</v>
      </c>
      <c r="K66" s="6" t="n">
        <v>552.97</v>
      </c>
      <c r="L66" s="7" t="n">
        <v>0.09</v>
      </c>
      <c r="M66" s="6" t="n">
        <v>49.76</v>
      </c>
      <c r="N66" s="7" t="n">
        <v>0.09</v>
      </c>
      <c r="O66" s="6" t="n">
        <v>49.76</v>
      </c>
      <c r="P66" s="6" t="n">
        <f aca="false">K66+M66+O66</f>
        <v>652.49</v>
      </c>
      <c r="Q66" s="8" t="n">
        <f aca="false">ROUND(K66/H66,2)</f>
        <v>110.59</v>
      </c>
      <c r="R66" s="6" t="n">
        <f aca="false">F66*H66</f>
        <v>1125</v>
      </c>
      <c r="S66" s="6" t="n">
        <f aca="false">ROUND(G66*H66/1.18,2)</f>
        <v>552.97</v>
      </c>
      <c r="T66" s="6" t="n">
        <f aca="false">ROUND(S66-K66,2)</f>
        <v>0</v>
      </c>
      <c r="U66" s="5" t="n">
        <v>3</v>
      </c>
      <c r="V66" s="9" t="s">
        <v>27</v>
      </c>
    </row>
    <row r="67" customFormat="false" ht="15" hidden="false" customHeight="false" outlineLevel="0" collapsed="false">
      <c r="A67" s="4" t="n">
        <v>66</v>
      </c>
      <c r="B67" s="4" t="s">
        <v>135</v>
      </c>
      <c r="C67" s="4" t="s">
        <v>166</v>
      </c>
      <c r="D67" s="4" t="s">
        <v>167</v>
      </c>
      <c r="E67" s="5" t="s">
        <v>138</v>
      </c>
      <c r="F67" s="6" t="n">
        <v>30</v>
      </c>
      <c r="G67" s="6" t="n">
        <v>17.4</v>
      </c>
      <c r="H67" s="5" t="n">
        <v>10</v>
      </c>
      <c r="I67" s="5" t="s">
        <v>26</v>
      </c>
      <c r="J67" s="7" t="n">
        <v>0.42</v>
      </c>
      <c r="K67" s="6" t="n">
        <v>147.46</v>
      </c>
      <c r="L67" s="7" t="n">
        <v>0.09</v>
      </c>
      <c r="M67" s="6" t="n">
        <v>13.27</v>
      </c>
      <c r="N67" s="7" t="n">
        <v>0.09</v>
      </c>
      <c r="O67" s="6" t="n">
        <v>13.27</v>
      </c>
      <c r="P67" s="6" t="n">
        <f aca="false">K67+M67+O67</f>
        <v>174</v>
      </c>
      <c r="Q67" s="8" t="n">
        <f aca="false">ROUND(K67/H67,2)</f>
        <v>14.75</v>
      </c>
      <c r="R67" s="6" t="n">
        <f aca="false">F67*H67</f>
        <v>300</v>
      </c>
      <c r="S67" s="6" t="n">
        <f aca="false">ROUND(G67*H67/1.18,2)</f>
        <v>147.46</v>
      </c>
      <c r="T67" s="6" t="n">
        <f aca="false">ROUND(S67-K67,2)</f>
        <v>0</v>
      </c>
      <c r="U67" s="5" t="n">
        <v>3</v>
      </c>
      <c r="V67" s="9" t="s">
        <v>27</v>
      </c>
    </row>
    <row r="68" customFormat="false" ht="15" hidden="false" customHeight="false" outlineLevel="0" collapsed="false">
      <c r="A68" s="4" t="n">
        <v>67</v>
      </c>
      <c r="B68" s="4" t="s">
        <v>135</v>
      </c>
      <c r="C68" s="4" t="s">
        <v>168</v>
      </c>
      <c r="D68" s="4" t="s">
        <v>169</v>
      </c>
      <c r="E68" s="5" t="s">
        <v>138</v>
      </c>
      <c r="F68" s="6" t="n">
        <v>58</v>
      </c>
      <c r="G68" s="6" t="n">
        <v>33.64</v>
      </c>
      <c r="H68" s="5" t="n">
        <v>10</v>
      </c>
      <c r="I68" s="5" t="s">
        <v>26</v>
      </c>
      <c r="J68" s="7" t="n">
        <v>0.42</v>
      </c>
      <c r="K68" s="6" t="n">
        <v>285.08</v>
      </c>
      <c r="L68" s="7" t="n">
        <v>0.09</v>
      </c>
      <c r="M68" s="6" t="n">
        <v>25.66</v>
      </c>
      <c r="N68" s="7" t="n">
        <v>0.09</v>
      </c>
      <c r="O68" s="6" t="n">
        <v>25.66</v>
      </c>
      <c r="P68" s="6" t="n">
        <f aca="false">K68+M68+O68</f>
        <v>336.4</v>
      </c>
      <c r="Q68" s="8" t="n">
        <f aca="false">ROUND(K68/H68,2)</f>
        <v>28.51</v>
      </c>
      <c r="R68" s="6" t="n">
        <f aca="false">F68*H68</f>
        <v>580</v>
      </c>
      <c r="S68" s="6" t="n">
        <f aca="false">ROUND(G68*H68/1.18,2)</f>
        <v>285.08</v>
      </c>
      <c r="T68" s="6" t="n">
        <f aca="false">ROUND(S68-K68,2)</f>
        <v>0</v>
      </c>
      <c r="U68" s="5" t="n">
        <v>3</v>
      </c>
      <c r="V68" s="9" t="s">
        <v>27</v>
      </c>
    </row>
    <row r="69" customFormat="false" ht="15" hidden="false" customHeight="false" outlineLevel="0" collapsed="false">
      <c r="A69" s="4" t="n">
        <v>68</v>
      </c>
      <c r="B69" s="4" t="s">
        <v>135</v>
      </c>
      <c r="C69" s="4" t="s">
        <v>170</v>
      </c>
      <c r="D69" s="4" t="s">
        <v>171</v>
      </c>
      <c r="E69" s="5" t="s">
        <v>138</v>
      </c>
      <c r="F69" s="6" t="n">
        <v>82</v>
      </c>
      <c r="G69" s="6" t="n">
        <v>47.56</v>
      </c>
      <c r="H69" s="5" t="n">
        <v>10</v>
      </c>
      <c r="I69" s="5" t="s">
        <v>172</v>
      </c>
      <c r="J69" s="7" t="n">
        <v>0.42</v>
      </c>
      <c r="K69" s="6" t="n">
        <v>403.05</v>
      </c>
      <c r="L69" s="7" t="n">
        <v>0.09</v>
      </c>
      <c r="M69" s="6" t="n">
        <v>36.27</v>
      </c>
      <c r="N69" s="7" t="n">
        <v>0.09</v>
      </c>
      <c r="O69" s="6" t="n">
        <v>36.27</v>
      </c>
      <c r="P69" s="6" t="n">
        <f aca="false">K69+M69+O69</f>
        <v>475.59</v>
      </c>
      <c r="Q69" s="8" t="n">
        <f aca="false">ROUND(K69/H69,2)</f>
        <v>40.31</v>
      </c>
      <c r="R69" s="6" t="n">
        <f aca="false">F69*H69</f>
        <v>820</v>
      </c>
      <c r="S69" s="6" t="n">
        <f aca="false">ROUND(G69*H69/1.18,2)</f>
        <v>403.05</v>
      </c>
      <c r="T69" s="6" t="n">
        <f aca="false">ROUND(S69-K69,2)</f>
        <v>0</v>
      </c>
      <c r="U69" s="5" t="n">
        <v>3</v>
      </c>
      <c r="V69" s="9" t="s">
        <v>27</v>
      </c>
    </row>
    <row r="70" customFormat="false" ht="15" hidden="false" customHeight="false" outlineLevel="0" collapsed="false">
      <c r="A70" s="4" t="n">
        <v>69</v>
      </c>
      <c r="B70" s="4" t="s">
        <v>135</v>
      </c>
      <c r="C70" s="4" t="s">
        <v>173</v>
      </c>
      <c r="D70" s="4" t="s">
        <v>174</v>
      </c>
      <c r="E70" s="5" t="s">
        <v>138</v>
      </c>
      <c r="F70" s="6" t="n">
        <v>160</v>
      </c>
      <c r="G70" s="6" t="n">
        <v>92.8</v>
      </c>
      <c r="H70" s="5" t="n">
        <v>5</v>
      </c>
      <c r="I70" s="5" t="s">
        <v>175</v>
      </c>
      <c r="J70" s="7" t="n">
        <v>0.42</v>
      </c>
      <c r="K70" s="6" t="n">
        <v>393.22</v>
      </c>
      <c r="L70" s="7" t="n">
        <v>0.09</v>
      </c>
      <c r="M70" s="6" t="n">
        <v>35.39</v>
      </c>
      <c r="N70" s="7" t="n">
        <v>0.09</v>
      </c>
      <c r="O70" s="6" t="n">
        <v>35.39</v>
      </c>
      <c r="P70" s="6" t="n">
        <f aca="false">K70+M70+O70</f>
        <v>464</v>
      </c>
      <c r="Q70" s="8" t="n">
        <f aca="false">ROUND(K70/H70,2)</f>
        <v>78.64</v>
      </c>
      <c r="R70" s="6" t="n">
        <f aca="false">F70*H70</f>
        <v>800</v>
      </c>
      <c r="S70" s="6" t="n">
        <f aca="false">ROUND(G70*H70/1.18,2)</f>
        <v>393.22</v>
      </c>
      <c r="T70" s="6" t="n">
        <f aca="false">ROUND(S70-K70,2)</f>
        <v>0</v>
      </c>
      <c r="U70" s="5" t="n">
        <v>3</v>
      </c>
      <c r="V70" s="9" t="s">
        <v>27</v>
      </c>
    </row>
    <row r="71" customFormat="false" ht="15" hidden="false" customHeight="false" outlineLevel="0" collapsed="false">
      <c r="A71" s="4" t="n">
        <v>70</v>
      </c>
      <c r="B71" s="4" t="s">
        <v>135</v>
      </c>
      <c r="C71" s="4" t="s">
        <v>176</v>
      </c>
      <c r="D71" s="4" t="s">
        <v>177</v>
      </c>
      <c r="E71" s="5" t="s">
        <v>138</v>
      </c>
      <c r="F71" s="6" t="n">
        <v>90</v>
      </c>
      <c r="G71" s="6" t="n">
        <v>52.2</v>
      </c>
      <c r="H71" s="5" t="n">
        <v>10</v>
      </c>
      <c r="I71" s="5" t="s">
        <v>26</v>
      </c>
      <c r="J71" s="7" t="n">
        <v>0.42</v>
      </c>
      <c r="K71" s="6" t="n">
        <v>442.37</v>
      </c>
      <c r="L71" s="7" t="n">
        <v>0.09</v>
      </c>
      <c r="M71" s="6" t="n">
        <v>39.81</v>
      </c>
      <c r="N71" s="7" t="n">
        <v>0.09</v>
      </c>
      <c r="O71" s="6" t="n">
        <v>39.81</v>
      </c>
      <c r="P71" s="6" t="n">
        <f aca="false">K71+M71+O71</f>
        <v>521.99</v>
      </c>
      <c r="Q71" s="8" t="n">
        <f aca="false">ROUND(K71/H71,2)</f>
        <v>44.24</v>
      </c>
      <c r="R71" s="6" t="n">
        <f aca="false">F71*H71</f>
        <v>900</v>
      </c>
      <c r="S71" s="6" t="n">
        <f aca="false">ROUND(G71*H71/1.18,2)</f>
        <v>442.37</v>
      </c>
      <c r="T71" s="6" t="n">
        <f aca="false">ROUND(S71-K71,2)</f>
        <v>0</v>
      </c>
      <c r="U71" s="5" t="n">
        <v>3</v>
      </c>
      <c r="V71" s="9" t="s">
        <v>27</v>
      </c>
    </row>
    <row r="72" customFormat="false" ht="15" hidden="false" customHeight="false" outlineLevel="0" collapsed="false">
      <c r="A72" s="4" t="n">
        <v>71</v>
      </c>
      <c r="B72" s="4" t="s">
        <v>135</v>
      </c>
      <c r="C72" s="4" t="s">
        <v>178</v>
      </c>
      <c r="D72" s="4" t="s">
        <v>179</v>
      </c>
      <c r="E72" s="5" t="s">
        <v>138</v>
      </c>
      <c r="F72" s="6" t="n">
        <v>82</v>
      </c>
      <c r="G72" s="6" t="n">
        <v>47.56</v>
      </c>
      <c r="H72" s="5" t="n">
        <v>10</v>
      </c>
      <c r="I72" s="5" t="s">
        <v>149</v>
      </c>
      <c r="J72" s="7" t="n">
        <v>0.42</v>
      </c>
      <c r="K72" s="6" t="n">
        <v>403.05</v>
      </c>
      <c r="L72" s="7" t="n">
        <v>0.09</v>
      </c>
      <c r="M72" s="6" t="n">
        <v>36.27</v>
      </c>
      <c r="N72" s="7" t="n">
        <v>0.09</v>
      </c>
      <c r="O72" s="6" t="n">
        <v>36.27</v>
      </c>
      <c r="P72" s="6" t="n">
        <f aca="false">K72+M72+O72</f>
        <v>475.59</v>
      </c>
      <c r="Q72" s="8" t="n">
        <f aca="false">ROUND(K72/H72,2)</f>
        <v>40.31</v>
      </c>
      <c r="R72" s="6" t="n">
        <f aca="false">F72*H72</f>
        <v>820</v>
      </c>
      <c r="S72" s="6" t="n">
        <f aca="false">ROUND(G72*H72/1.18,2)</f>
        <v>403.05</v>
      </c>
      <c r="T72" s="6" t="n">
        <f aca="false">ROUND(S72-K72,2)</f>
        <v>0</v>
      </c>
      <c r="U72" s="5" t="n">
        <v>3</v>
      </c>
      <c r="V72" s="9" t="s">
        <v>27</v>
      </c>
    </row>
    <row r="73" customFormat="false" ht="15" hidden="false" customHeight="false" outlineLevel="0" collapsed="false">
      <c r="A73" s="4" t="n">
        <v>72</v>
      </c>
      <c r="B73" s="4" t="s">
        <v>135</v>
      </c>
      <c r="C73" s="4" t="s">
        <v>180</v>
      </c>
      <c r="D73" s="4" t="s">
        <v>181</v>
      </c>
      <c r="E73" s="5" t="s">
        <v>138</v>
      </c>
      <c r="F73" s="6" t="n">
        <v>160</v>
      </c>
      <c r="G73" s="6" t="n">
        <v>92.8</v>
      </c>
      <c r="H73" s="5" t="n">
        <v>5</v>
      </c>
      <c r="I73" s="5" t="s">
        <v>149</v>
      </c>
      <c r="J73" s="7" t="n">
        <v>0.42</v>
      </c>
      <c r="K73" s="6" t="n">
        <v>393.22</v>
      </c>
      <c r="L73" s="7" t="n">
        <v>0.09</v>
      </c>
      <c r="M73" s="6" t="n">
        <v>35.39</v>
      </c>
      <c r="N73" s="7" t="n">
        <v>0.09</v>
      </c>
      <c r="O73" s="6" t="n">
        <v>35.39</v>
      </c>
      <c r="P73" s="6" t="n">
        <f aca="false">K73+M73+O73</f>
        <v>464</v>
      </c>
      <c r="Q73" s="8" t="n">
        <f aca="false">ROUND(K73/H73,2)</f>
        <v>78.64</v>
      </c>
      <c r="R73" s="6" t="n">
        <f aca="false">F73*H73</f>
        <v>800</v>
      </c>
      <c r="S73" s="6" t="n">
        <f aca="false">ROUND(G73*H73/1.18,2)</f>
        <v>393.22</v>
      </c>
      <c r="T73" s="6" t="n">
        <f aca="false">ROUND(S73-K73,2)</f>
        <v>0</v>
      </c>
      <c r="U73" s="5" t="n">
        <v>3</v>
      </c>
      <c r="V73" s="9" t="s">
        <v>27</v>
      </c>
    </row>
    <row r="74" customFormat="false" ht="15" hidden="false" customHeight="false" outlineLevel="0" collapsed="false">
      <c r="A74" s="4" t="n">
        <v>73</v>
      </c>
      <c r="B74" s="4" t="s">
        <v>135</v>
      </c>
      <c r="C74" s="4" t="s">
        <v>182</v>
      </c>
      <c r="D74" s="4" t="s">
        <v>183</v>
      </c>
      <c r="E74" s="5" t="s">
        <v>138</v>
      </c>
      <c r="F74" s="6" t="n">
        <v>30</v>
      </c>
      <c r="G74" s="6" t="n">
        <v>17.4</v>
      </c>
      <c r="H74" s="5" t="n">
        <v>10</v>
      </c>
      <c r="I74" s="5" t="s">
        <v>26</v>
      </c>
      <c r="J74" s="7" t="n">
        <v>0.42</v>
      </c>
      <c r="K74" s="6" t="n">
        <v>147.46</v>
      </c>
      <c r="L74" s="7" t="n">
        <v>0.09</v>
      </c>
      <c r="M74" s="6" t="n">
        <v>13.27</v>
      </c>
      <c r="N74" s="7" t="n">
        <v>0.09</v>
      </c>
      <c r="O74" s="6" t="n">
        <v>13.27</v>
      </c>
      <c r="P74" s="6" t="n">
        <f aca="false">K74+M74+O74</f>
        <v>174</v>
      </c>
      <c r="Q74" s="8" t="n">
        <f aca="false">ROUND(K74/H74,2)</f>
        <v>14.75</v>
      </c>
      <c r="R74" s="6" t="n">
        <f aca="false">F74*H74</f>
        <v>300</v>
      </c>
      <c r="S74" s="6" t="n">
        <f aca="false">ROUND(G74*H74/1.18,2)</f>
        <v>147.46</v>
      </c>
      <c r="T74" s="6" t="n">
        <f aca="false">ROUND(S74-K74,2)</f>
        <v>0</v>
      </c>
      <c r="U74" s="5" t="n">
        <v>3</v>
      </c>
      <c r="V74" s="9" t="s">
        <v>27</v>
      </c>
    </row>
    <row r="75" customFormat="false" ht="15" hidden="false" customHeight="false" outlineLevel="0" collapsed="false">
      <c r="A75" s="4" t="n">
        <v>74</v>
      </c>
      <c r="B75" s="4" t="s">
        <v>135</v>
      </c>
      <c r="C75" s="4" t="s">
        <v>184</v>
      </c>
      <c r="D75" s="4" t="s">
        <v>185</v>
      </c>
      <c r="E75" s="5" t="s">
        <v>138</v>
      </c>
      <c r="F75" s="6" t="n">
        <v>70</v>
      </c>
      <c r="G75" s="6" t="n">
        <v>40.6</v>
      </c>
      <c r="H75" s="5" t="n">
        <v>5</v>
      </c>
      <c r="I75" s="5" t="s">
        <v>149</v>
      </c>
      <c r="J75" s="7" t="n">
        <v>0.42</v>
      </c>
      <c r="K75" s="6" t="n">
        <v>172.03</v>
      </c>
      <c r="L75" s="7" t="n">
        <v>0.09</v>
      </c>
      <c r="M75" s="6" t="n">
        <v>15.48</v>
      </c>
      <c r="N75" s="7" t="n">
        <v>0.09</v>
      </c>
      <c r="O75" s="6" t="n">
        <v>15.48</v>
      </c>
      <c r="P75" s="6" t="n">
        <f aca="false">K75+M75+O75</f>
        <v>202.99</v>
      </c>
      <c r="Q75" s="8" t="n">
        <f aca="false">ROUND(K75/H75,2)</f>
        <v>34.41</v>
      </c>
      <c r="R75" s="6" t="n">
        <f aca="false">F75*H75</f>
        <v>350</v>
      </c>
      <c r="S75" s="6" t="n">
        <f aca="false">ROUND(G75*H75/1.18,2)</f>
        <v>172.03</v>
      </c>
      <c r="T75" s="6" t="n">
        <f aca="false">ROUND(S75-K75,2)</f>
        <v>0</v>
      </c>
      <c r="U75" s="5" t="n">
        <v>3</v>
      </c>
      <c r="V75" s="9" t="s">
        <v>27</v>
      </c>
    </row>
    <row r="76" customFormat="false" ht="15" hidden="false" customHeight="false" outlineLevel="0" collapsed="false">
      <c r="A76" s="4" t="n">
        <v>75</v>
      </c>
      <c r="B76" s="4" t="s">
        <v>135</v>
      </c>
      <c r="C76" s="4" t="s">
        <v>186</v>
      </c>
      <c r="D76" s="4" t="s">
        <v>187</v>
      </c>
      <c r="E76" s="5" t="s">
        <v>138</v>
      </c>
      <c r="F76" s="6" t="n">
        <v>54</v>
      </c>
      <c r="G76" s="6" t="n">
        <v>31.32</v>
      </c>
      <c r="H76" s="5" t="n">
        <v>10</v>
      </c>
      <c r="I76" s="5" t="s">
        <v>26</v>
      </c>
      <c r="J76" s="7" t="n">
        <v>0.42</v>
      </c>
      <c r="K76" s="6" t="n">
        <v>265.42</v>
      </c>
      <c r="L76" s="7" t="n">
        <v>0.09</v>
      </c>
      <c r="M76" s="6" t="n">
        <v>23.89</v>
      </c>
      <c r="N76" s="7" t="n">
        <v>0.09</v>
      </c>
      <c r="O76" s="6" t="n">
        <v>23.89</v>
      </c>
      <c r="P76" s="6" t="n">
        <f aca="false">K76+M76+O76</f>
        <v>313.2</v>
      </c>
      <c r="Q76" s="8" t="n">
        <f aca="false">ROUND(K76/H76,2)</f>
        <v>26.54</v>
      </c>
      <c r="R76" s="6" t="n">
        <f aca="false">F76*H76</f>
        <v>540</v>
      </c>
      <c r="S76" s="6" t="n">
        <f aca="false">ROUND(G76*H76/1.18,2)</f>
        <v>265.42</v>
      </c>
      <c r="T76" s="6" t="n">
        <f aca="false">ROUND(S76-K76,2)</f>
        <v>0</v>
      </c>
      <c r="U76" s="5" t="n">
        <v>3</v>
      </c>
      <c r="V76" s="9" t="s">
        <v>27</v>
      </c>
    </row>
    <row r="77" customFormat="false" ht="15" hidden="false" customHeight="false" outlineLevel="0" collapsed="false">
      <c r="A77" s="4" t="n">
        <v>76</v>
      </c>
      <c r="B77" s="4" t="s">
        <v>135</v>
      </c>
      <c r="C77" s="4" t="s">
        <v>188</v>
      </c>
      <c r="D77" s="4" t="s">
        <v>189</v>
      </c>
      <c r="E77" s="5" t="s">
        <v>138</v>
      </c>
      <c r="F77" s="6" t="n">
        <v>82</v>
      </c>
      <c r="G77" s="6" t="n">
        <v>47.56</v>
      </c>
      <c r="H77" s="5" t="n">
        <v>2</v>
      </c>
      <c r="I77" s="5" t="s">
        <v>26</v>
      </c>
      <c r="J77" s="7" t="n">
        <v>0.42</v>
      </c>
      <c r="K77" s="6" t="n">
        <v>80.61</v>
      </c>
      <c r="L77" s="7" t="n">
        <v>0.09</v>
      </c>
      <c r="M77" s="6" t="n">
        <v>7.25</v>
      </c>
      <c r="N77" s="7" t="n">
        <v>0.09</v>
      </c>
      <c r="O77" s="6" t="n">
        <v>7.25</v>
      </c>
      <c r="P77" s="6" t="n">
        <f aca="false">K77+M77+O77</f>
        <v>95.11</v>
      </c>
      <c r="Q77" s="8" t="n">
        <f aca="false">ROUND(K77/H77,2)</f>
        <v>40.31</v>
      </c>
      <c r="R77" s="6" t="n">
        <f aca="false">F77*H77</f>
        <v>164</v>
      </c>
      <c r="S77" s="6" t="n">
        <f aca="false">ROUND(G77*H77/1.18,2)</f>
        <v>80.61</v>
      </c>
      <c r="T77" s="6" t="n">
        <f aca="false">ROUND(S77-K77,2)</f>
        <v>0</v>
      </c>
      <c r="U77" s="5" t="n">
        <v>3</v>
      </c>
      <c r="V77" s="9" t="s">
        <v>27</v>
      </c>
    </row>
    <row r="78" customFormat="false" ht="15" hidden="false" customHeight="false" outlineLevel="0" collapsed="false">
      <c r="A78" s="4" t="n">
        <v>77</v>
      </c>
      <c r="B78" s="4" t="s">
        <v>135</v>
      </c>
      <c r="C78" s="4" t="s">
        <v>190</v>
      </c>
      <c r="D78" s="4" t="s">
        <v>191</v>
      </c>
      <c r="E78" s="5" t="s">
        <v>138</v>
      </c>
      <c r="F78" s="6" t="n">
        <v>155</v>
      </c>
      <c r="G78" s="6" t="n">
        <v>89.9</v>
      </c>
      <c r="H78" s="5" t="n">
        <v>10</v>
      </c>
      <c r="I78" s="5" t="s">
        <v>149</v>
      </c>
      <c r="J78" s="7" t="n">
        <v>0.42</v>
      </c>
      <c r="K78" s="6" t="n">
        <v>761.86</v>
      </c>
      <c r="L78" s="7" t="n">
        <v>0.09</v>
      </c>
      <c r="M78" s="6" t="n">
        <v>68.57</v>
      </c>
      <c r="N78" s="7" t="n">
        <v>0.09</v>
      </c>
      <c r="O78" s="6" t="n">
        <v>68.57</v>
      </c>
      <c r="P78" s="6" t="n">
        <f aca="false">K78+M78+O78</f>
        <v>899</v>
      </c>
      <c r="Q78" s="8" t="n">
        <f aca="false">ROUND(K78/H78,2)</f>
        <v>76.19</v>
      </c>
      <c r="R78" s="6" t="n">
        <f aca="false">F78*H78</f>
        <v>1550</v>
      </c>
      <c r="S78" s="6" t="n">
        <f aca="false">ROUND(G78*H78/1.18,2)</f>
        <v>761.86</v>
      </c>
      <c r="T78" s="6" t="n">
        <f aca="false">ROUND(S78-K78,2)</f>
        <v>0</v>
      </c>
      <c r="U78" s="5" t="n">
        <v>3</v>
      </c>
      <c r="V78" s="9" t="s">
        <v>27</v>
      </c>
    </row>
    <row r="79" customFormat="false" ht="15" hidden="false" customHeight="false" outlineLevel="0" collapsed="false">
      <c r="A79" s="4" t="n">
        <v>78</v>
      </c>
      <c r="B79" s="4" t="s">
        <v>135</v>
      </c>
      <c r="C79" s="4" t="s">
        <v>192</v>
      </c>
      <c r="D79" s="4" t="s">
        <v>193</v>
      </c>
      <c r="E79" s="5" t="s">
        <v>138</v>
      </c>
      <c r="F79" s="6" t="n">
        <v>155</v>
      </c>
      <c r="G79" s="6" t="n">
        <v>89.9</v>
      </c>
      <c r="H79" s="5" t="n">
        <v>4</v>
      </c>
      <c r="I79" s="5" t="s">
        <v>149</v>
      </c>
      <c r="J79" s="7" t="n">
        <v>0.42</v>
      </c>
      <c r="K79" s="6" t="n">
        <v>304.75</v>
      </c>
      <c r="L79" s="7" t="n">
        <v>0.09</v>
      </c>
      <c r="M79" s="6" t="n">
        <v>27.42</v>
      </c>
      <c r="N79" s="7" t="n">
        <v>0.09</v>
      </c>
      <c r="O79" s="6" t="n">
        <v>27.42</v>
      </c>
      <c r="P79" s="6" t="n">
        <f aca="false">K79+M79+O79</f>
        <v>359.59</v>
      </c>
      <c r="Q79" s="8" t="n">
        <f aca="false">ROUND(K79/H79,2)</f>
        <v>76.19</v>
      </c>
      <c r="R79" s="6" t="n">
        <f aca="false">F79*H79</f>
        <v>620</v>
      </c>
      <c r="S79" s="6" t="n">
        <f aca="false">ROUND(G79*H79/1.18,2)</f>
        <v>304.75</v>
      </c>
      <c r="T79" s="6" t="n">
        <f aca="false">ROUND(S79-K79,2)</f>
        <v>0</v>
      </c>
      <c r="U79" s="5" t="n">
        <v>3</v>
      </c>
      <c r="V79" s="9" t="s">
        <v>27</v>
      </c>
    </row>
    <row r="80" customFormat="false" ht="15" hidden="false" customHeight="false" outlineLevel="0" collapsed="false">
      <c r="A80" s="4" t="n">
        <v>79</v>
      </c>
      <c r="B80" s="4" t="s">
        <v>194</v>
      </c>
      <c r="C80" s="4" t="s">
        <v>195</v>
      </c>
      <c r="D80" s="4" t="s">
        <v>196</v>
      </c>
      <c r="E80" s="5" t="s">
        <v>67</v>
      </c>
      <c r="F80" s="6" t="n">
        <v>284</v>
      </c>
      <c r="G80" s="6" t="n">
        <v>184.6</v>
      </c>
      <c r="H80" s="5" t="n">
        <v>10</v>
      </c>
      <c r="I80" s="5" t="s">
        <v>149</v>
      </c>
      <c r="J80" s="7" t="n">
        <v>0.35</v>
      </c>
      <c r="K80" s="6" t="n">
        <v>1564.41</v>
      </c>
      <c r="L80" s="7" t="n">
        <v>0.09</v>
      </c>
      <c r="M80" s="6" t="n">
        <v>140.79</v>
      </c>
      <c r="N80" s="7" t="n">
        <v>0.09</v>
      </c>
      <c r="O80" s="6" t="n">
        <v>140.79</v>
      </c>
      <c r="P80" s="6" t="n">
        <f aca="false">K80+M80+O80</f>
        <v>1845.99</v>
      </c>
      <c r="Q80" s="8" t="n">
        <f aca="false">ROUND(K80/H80,2)</f>
        <v>156.44</v>
      </c>
      <c r="R80" s="6" t="n">
        <f aca="false">F80*H80</f>
        <v>2840</v>
      </c>
      <c r="S80" s="6" t="n">
        <f aca="false">ROUND(G80*H80/1.18,2)</f>
        <v>1564.41</v>
      </c>
      <c r="T80" s="6" t="n">
        <f aca="false">ROUND(S80-K80,2)</f>
        <v>0</v>
      </c>
      <c r="U80" s="5" t="n">
        <v>3</v>
      </c>
      <c r="V80" s="9" t="s">
        <v>27</v>
      </c>
    </row>
    <row r="81" customFormat="false" ht="15" hidden="false" customHeight="false" outlineLevel="0" collapsed="false">
      <c r="A81" s="4" t="n">
        <v>80</v>
      </c>
      <c r="B81" s="4" t="s">
        <v>194</v>
      </c>
      <c r="C81" s="4" t="s">
        <v>197</v>
      </c>
      <c r="D81" s="4" t="s">
        <v>198</v>
      </c>
      <c r="E81" s="5" t="s">
        <v>67</v>
      </c>
      <c r="F81" s="6" t="n">
        <v>300</v>
      </c>
      <c r="G81" s="6" t="n">
        <v>195</v>
      </c>
      <c r="H81" s="5" t="n">
        <v>10</v>
      </c>
      <c r="I81" s="5" t="s">
        <v>149</v>
      </c>
      <c r="J81" s="7" t="n">
        <v>0.35</v>
      </c>
      <c r="K81" s="6" t="n">
        <v>1652.54</v>
      </c>
      <c r="L81" s="7" t="n">
        <v>0.09</v>
      </c>
      <c r="M81" s="6" t="n">
        <v>148.73</v>
      </c>
      <c r="N81" s="7" t="n">
        <v>0.09</v>
      </c>
      <c r="O81" s="6" t="n">
        <v>148.73</v>
      </c>
      <c r="P81" s="6" t="n">
        <f aca="false">K81+M81+O81</f>
        <v>1950</v>
      </c>
      <c r="Q81" s="8" t="n">
        <f aca="false">ROUND(K81/H81,2)</f>
        <v>165.25</v>
      </c>
      <c r="R81" s="6" t="n">
        <f aca="false">F81*H81</f>
        <v>3000</v>
      </c>
      <c r="S81" s="6" t="n">
        <f aca="false">ROUND(G81*H81/1.18,2)</f>
        <v>1652.54</v>
      </c>
      <c r="T81" s="6" t="n">
        <f aca="false">ROUND(S81-K81,2)</f>
        <v>0</v>
      </c>
      <c r="U81" s="5" t="n">
        <v>3</v>
      </c>
      <c r="V81" s="9" t="s">
        <v>27</v>
      </c>
    </row>
    <row r="82" customFormat="false" ht="15" hidden="false" customHeight="false" outlineLevel="0" collapsed="false">
      <c r="A82" s="4" t="n">
        <v>81</v>
      </c>
      <c r="B82" s="4" t="s">
        <v>194</v>
      </c>
      <c r="C82" s="4" t="s">
        <v>199</v>
      </c>
      <c r="D82" s="4" t="s">
        <v>200</v>
      </c>
      <c r="E82" s="5" t="s">
        <v>67</v>
      </c>
      <c r="F82" s="6" t="n">
        <v>250</v>
      </c>
      <c r="G82" s="6" t="n">
        <v>162.5</v>
      </c>
      <c r="H82" s="5" t="n">
        <v>10</v>
      </c>
      <c r="I82" s="5" t="s">
        <v>149</v>
      </c>
      <c r="J82" s="7" t="n">
        <v>0.35</v>
      </c>
      <c r="K82" s="6" t="n">
        <v>1377.12</v>
      </c>
      <c r="L82" s="7" t="n">
        <v>0.09</v>
      </c>
      <c r="M82" s="6" t="n">
        <v>123.94</v>
      </c>
      <c r="N82" s="7" t="n">
        <v>0.09</v>
      </c>
      <c r="O82" s="6" t="n">
        <v>123.94</v>
      </c>
      <c r="P82" s="6" t="n">
        <f aca="false">K82+M82+O82</f>
        <v>1625</v>
      </c>
      <c r="Q82" s="8" t="n">
        <f aca="false">ROUND(K82/H82,2)</f>
        <v>137.71</v>
      </c>
      <c r="R82" s="6" t="n">
        <f aca="false">F82*H82</f>
        <v>2500</v>
      </c>
      <c r="S82" s="6" t="n">
        <f aca="false">ROUND(G82*H82/1.18,2)</f>
        <v>1377.12</v>
      </c>
      <c r="T82" s="6" t="n">
        <f aca="false">ROUND(S82-K82,2)</f>
        <v>0</v>
      </c>
      <c r="U82" s="5" t="n">
        <v>3</v>
      </c>
      <c r="V82" s="9" t="s">
        <v>27</v>
      </c>
    </row>
    <row r="83" customFormat="false" ht="15" hidden="false" customHeight="false" outlineLevel="0" collapsed="false">
      <c r="A83" s="4" t="n">
        <v>82</v>
      </c>
      <c r="B83" s="4" t="s">
        <v>194</v>
      </c>
      <c r="C83" s="4" t="s">
        <v>201</v>
      </c>
      <c r="D83" s="4" t="s">
        <v>202</v>
      </c>
      <c r="E83" s="5" t="s">
        <v>67</v>
      </c>
      <c r="F83" s="6" t="n">
        <v>250</v>
      </c>
      <c r="G83" s="6" t="n">
        <v>162.5</v>
      </c>
      <c r="H83" s="5" t="n">
        <v>10</v>
      </c>
      <c r="I83" s="5" t="s">
        <v>149</v>
      </c>
      <c r="J83" s="7" t="n">
        <v>0.35</v>
      </c>
      <c r="K83" s="6" t="n">
        <v>1377.12</v>
      </c>
      <c r="L83" s="7" t="n">
        <v>0.09</v>
      </c>
      <c r="M83" s="6" t="n">
        <v>123.94</v>
      </c>
      <c r="N83" s="7" t="n">
        <v>0.09</v>
      </c>
      <c r="O83" s="6" t="n">
        <v>123.94</v>
      </c>
      <c r="P83" s="6" t="n">
        <f aca="false">K83+M83+O83</f>
        <v>1625</v>
      </c>
      <c r="Q83" s="8" t="n">
        <f aca="false">ROUND(K83/H83,2)</f>
        <v>137.71</v>
      </c>
      <c r="R83" s="6" t="n">
        <f aca="false">F83*H83</f>
        <v>2500</v>
      </c>
      <c r="S83" s="6" t="n">
        <f aca="false">ROUND(G83*H83/1.18,2)</f>
        <v>1377.12</v>
      </c>
      <c r="T83" s="6" t="n">
        <f aca="false">ROUND(S83-K83,2)</f>
        <v>0</v>
      </c>
      <c r="U83" s="5" t="n">
        <v>3</v>
      </c>
      <c r="V83" s="9" t="s">
        <v>27</v>
      </c>
    </row>
    <row r="84" customFormat="false" ht="15" hidden="false" customHeight="false" outlineLevel="0" collapsed="false">
      <c r="A84" s="4" t="n">
        <v>83</v>
      </c>
      <c r="B84" s="4" t="s">
        <v>194</v>
      </c>
      <c r="C84" s="4" t="s">
        <v>201</v>
      </c>
      <c r="D84" s="4" t="s">
        <v>203</v>
      </c>
      <c r="E84" s="5" t="s">
        <v>67</v>
      </c>
      <c r="F84" s="6" t="n">
        <v>300</v>
      </c>
      <c r="G84" s="6" t="n">
        <v>195</v>
      </c>
      <c r="H84" s="5" t="n">
        <v>10</v>
      </c>
      <c r="I84" s="5" t="s">
        <v>149</v>
      </c>
      <c r="J84" s="7" t="n">
        <v>0.35</v>
      </c>
      <c r="K84" s="6" t="n">
        <v>1652.54</v>
      </c>
      <c r="L84" s="7" t="n">
        <v>0.09</v>
      </c>
      <c r="M84" s="6" t="n">
        <v>148.73</v>
      </c>
      <c r="N84" s="7" t="n">
        <v>0.09</v>
      </c>
      <c r="O84" s="6" t="n">
        <v>148.73</v>
      </c>
      <c r="P84" s="6" t="n">
        <f aca="false">K84+M84+O84</f>
        <v>1950</v>
      </c>
      <c r="Q84" s="8" t="n">
        <f aca="false">ROUND(K84/H84,2)</f>
        <v>165.25</v>
      </c>
      <c r="R84" s="6" t="n">
        <f aca="false">F84*H84</f>
        <v>3000</v>
      </c>
      <c r="S84" s="6" t="n">
        <f aca="false">ROUND(G84*H84/1.18,2)</f>
        <v>1652.54</v>
      </c>
      <c r="T84" s="6" t="n">
        <f aca="false">ROUND(S84-K84,2)</f>
        <v>0</v>
      </c>
      <c r="U84" s="5" t="n">
        <v>3</v>
      </c>
      <c r="V84" s="9" t="s">
        <v>27</v>
      </c>
    </row>
    <row r="85" customFormat="false" ht="15" hidden="false" customHeight="false" outlineLevel="0" collapsed="false">
      <c r="A85" s="4" t="n">
        <v>84</v>
      </c>
      <c r="B85" s="4" t="s">
        <v>194</v>
      </c>
      <c r="C85" s="4" t="s">
        <v>204</v>
      </c>
      <c r="D85" s="4" t="s">
        <v>205</v>
      </c>
      <c r="E85" s="5" t="s">
        <v>67</v>
      </c>
      <c r="F85" s="6" t="n">
        <v>256</v>
      </c>
      <c r="G85" s="6" t="n">
        <v>166.4</v>
      </c>
      <c r="H85" s="5" t="n">
        <v>10</v>
      </c>
      <c r="I85" s="5" t="s">
        <v>149</v>
      </c>
      <c r="J85" s="7" t="n">
        <v>0.35</v>
      </c>
      <c r="K85" s="6" t="n">
        <v>1410.17</v>
      </c>
      <c r="L85" s="7" t="n">
        <v>0.09</v>
      </c>
      <c r="M85" s="6" t="n">
        <v>126.91</v>
      </c>
      <c r="N85" s="7" t="n">
        <v>0.09</v>
      </c>
      <c r="O85" s="6" t="n">
        <v>126.91</v>
      </c>
      <c r="P85" s="6" t="n">
        <f aca="false">K85+M85+O85</f>
        <v>1663.99</v>
      </c>
      <c r="Q85" s="8" t="n">
        <f aca="false">ROUND(K85/H85,2)</f>
        <v>141.02</v>
      </c>
      <c r="R85" s="6" t="n">
        <f aca="false">F85*H85</f>
        <v>2560</v>
      </c>
      <c r="S85" s="6" t="n">
        <f aca="false">ROUND(G85*H85/1.18,2)</f>
        <v>1410.17</v>
      </c>
      <c r="T85" s="6" t="n">
        <f aca="false">ROUND(S85-K85,2)</f>
        <v>0</v>
      </c>
      <c r="U85" s="5" t="n">
        <v>3</v>
      </c>
      <c r="V85" s="9" t="s">
        <v>27</v>
      </c>
    </row>
    <row r="86" customFormat="false" ht="15" hidden="false" customHeight="false" outlineLevel="0" collapsed="false">
      <c r="A86" s="4" t="n">
        <v>85</v>
      </c>
      <c r="B86" s="4" t="s">
        <v>194</v>
      </c>
      <c r="C86" s="4" t="s">
        <v>206</v>
      </c>
      <c r="D86" s="4" t="s">
        <v>207</v>
      </c>
      <c r="E86" s="5" t="s">
        <v>67</v>
      </c>
      <c r="F86" s="6" t="n">
        <v>226</v>
      </c>
      <c r="G86" s="6" t="n">
        <v>146.9</v>
      </c>
      <c r="H86" s="5" t="n">
        <v>10</v>
      </c>
      <c r="I86" s="5" t="s">
        <v>149</v>
      </c>
      <c r="J86" s="7" t="n">
        <v>0.35</v>
      </c>
      <c r="K86" s="6" t="n">
        <v>1244.92</v>
      </c>
      <c r="L86" s="7" t="n">
        <v>0.09</v>
      </c>
      <c r="M86" s="6" t="n">
        <v>112.04</v>
      </c>
      <c r="N86" s="7" t="n">
        <v>0.09</v>
      </c>
      <c r="O86" s="6" t="n">
        <v>112.04</v>
      </c>
      <c r="P86" s="6" t="n">
        <f aca="false">K86+M86+O86</f>
        <v>1469</v>
      </c>
      <c r="Q86" s="8" t="n">
        <f aca="false">ROUND(K86/H86,2)</f>
        <v>124.49</v>
      </c>
      <c r="R86" s="6" t="n">
        <f aca="false">F86*H86</f>
        <v>2260</v>
      </c>
      <c r="S86" s="6" t="n">
        <f aca="false">ROUND(G86*H86/1.18,2)</f>
        <v>1244.92</v>
      </c>
      <c r="T86" s="6" t="n">
        <f aca="false">ROUND(S86-K86,2)</f>
        <v>0</v>
      </c>
      <c r="U86" s="5" t="n">
        <v>3</v>
      </c>
      <c r="V86" s="9" t="s">
        <v>27</v>
      </c>
    </row>
    <row r="87" customFormat="false" ht="15" hidden="false" customHeight="false" outlineLevel="0" collapsed="false">
      <c r="A87" s="4" t="n">
        <v>86</v>
      </c>
      <c r="B87" s="4" t="s">
        <v>194</v>
      </c>
      <c r="C87" s="4" t="s">
        <v>208</v>
      </c>
      <c r="D87" s="4" t="s">
        <v>209</v>
      </c>
      <c r="E87" s="5" t="s">
        <v>67</v>
      </c>
      <c r="F87" s="6" t="n">
        <v>197</v>
      </c>
      <c r="G87" s="6" t="n">
        <v>133.96</v>
      </c>
      <c r="H87" s="5" t="n">
        <v>6</v>
      </c>
      <c r="I87" s="5" t="s">
        <v>26</v>
      </c>
      <c r="J87" s="7" t="n">
        <v>0.32</v>
      </c>
      <c r="K87" s="6" t="n">
        <v>681.15</v>
      </c>
      <c r="L87" s="7" t="n">
        <v>0.09</v>
      </c>
      <c r="M87" s="6" t="n">
        <v>61.3</v>
      </c>
      <c r="N87" s="7" t="n">
        <v>0.09</v>
      </c>
      <c r="O87" s="6" t="n">
        <v>61.3</v>
      </c>
      <c r="P87" s="6" t="n">
        <f aca="false">K87+M87+O87</f>
        <v>803.75</v>
      </c>
      <c r="Q87" s="8" t="n">
        <f aca="false">ROUND(K87/H87,2)</f>
        <v>113.53</v>
      </c>
      <c r="R87" s="6" t="n">
        <f aca="false">F87*H87</f>
        <v>1182</v>
      </c>
      <c r="S87" s="6" t="n">
        <f aca="false">ROUND(G87*H87/1.18,2)</f>
        <v>681.15</v>
      </c>
      <c r="T87" s="6" t="n">
        <f aca="false">ROUND(S87-K87,2)</f>
        <v>0</v>
      </c>
      <c r="U87" s="5" t="n">
        <v>3</v>
      </c>
      <c r="V87" s="9" t="s">
        <v>27</v>
      </c>
    </row>
    <row r="88" customFormat="false" ht="15" hidden="false" customHeight="false" outlineLevel="0" collapsed="false">
      <c r="A88" s="4" t="n">
        <v>87</v>
      </c>
      <c r="B88" s="4" t="s">
        <v>194</v>
      </c>
      <c r="C88" s="4" t="s">
        <v>208</v>
      </c>
      <c r="D88" s="4" t="s">
        <v>210</v>
      </c>
      <c r="E88" s="5" t="s">
        <v>67</v>
      </c>
      <c r="F88" s="6" t="n">
        <v>197</v>
      </c>
      <c r="G88" s="6" t="n">
        <v>133.96</v>
      </c>
      <c r="H88" s="5" t="n">
        <v>6</v>
      </c>
      <c r="I88" s="5" t="s">
        <v>26</v>
      </c>
      <c r="J88" s="7" t="n">
        <v>0.32</v>
      </c>
      <c r="K88" s="6" t="n">
        <v>681.15</v>
      </c>
      <c r="L88" s="7" t="n">
        <v>0.09</v>
      </c>
      <c r="M88" s="6" t="n">
        <v>61.3</v>
      </c>
      <c r="N88" s="7" t="n">
        <v>0.09</v>
      </c>
      <c r="O88" s="6" t="n">
        <v>61.3</v>
      </c>
      <c r="P88" s="6" t="n">
        <f aca="false">K88+M88+O88</f>
        <v>803.75</v>
      </c>
      <c r="Q88" s="8" t="n">
        <f aca="false">ROUND(K88/H88,2)</f>
        <v>113.53</v>
      </c>
      <c r="R88" s="6" t="n">
        <f aca="false">F88*H88</f>
        <v>1182</v>
      </c>
      <c r="S88" s="6" t="n">
        <f aca="false">ROUND(G88*H88/1.18,2)</f>
        <v>681.15</v>
      </c>
      <c r="T88" s="6" t="n">
        <f aca="false">ROUND(S88-K88,2)</f>
        <v>0</v>
      </c>
      <c r="U88" s="5" t="n">
        <v>3</v>
      </c>
      <c r="V88" s="9" t="s">
        <v>27</v>
      </c>
    </row>
    <row r="89" customFormat="false" ht="15" hidden="false" customHeight="false" outlineLevel="0" collapsed="false">
      <c r="A89" s="4" t="n">
        <v>88</v>
      </c>
      <c r="B89" s="4" t="s">
        <v>194</v>
      </c>
      <c r="C89" s="4" t="s">
        <v>211</v>
      </c>
      <c r="D89" s="4" t="s">
        <v>212</v>
      </c>
      <c r="E89" s="5" t="s">
        <v>67</v>
      </c>
      <c r="F89" s="6" t="n">
        <v>132</v>
      </c>
      <c r="G89" s="6" t="n">
        <v>89.76</v>
      </c>
      <c r="H89" s="5" t="n">
        <v>6</v>
      </c>
      <c r="I89" s="5" t="s">
        <v>26</v>
      </c>
      <c r="J89" s="7" t="n">
        <v>0.32</v>
      </c>
      <c r="K89" s="6" t="n">
        <v>456.41</v>
      </c>
      <c r="L89" s="7" t="n">
        <v>0.09</v>
      </c>
      <c r="M89" s="6" t="n">
        <v>41.07</v>
      </c>
      <c r="N89" s="7" t="n">
        <v>0.09</v>
      </c>
      <c r="O89" s="6" t="n">
        <v>41.07</v>
      </c>
      <c r="P89" s="6" t="n">
        <f aca="false">K89+M89+O89</f>
        <v>538.55</v>
      </c>
      <c r="Q89" s="8" t="n">
        <f aca="false">ROUND(K89/H89,2)</f>
        <v>76.07</v>
      </c>
      <c r="R89" s="6" t="n">
        <f aca="false">F89*H89</f>
        <v>792</v>
      </c>
      <c r="S89" s="6" t="n">
        <f aca="false">ROUND(G89*H89/1.18,2)</f>
        <v>456.41</v>
      </c>
      <c r="T89" s="6" t="n">
        <f aca="false">ROUND(S89-K89,2)</f>
        <v>0</v>
      </c>
      <c r="U89" s="5" t="n">
        <v>4</v>
      </c>
      <c r="V89" s="9" t="s">
        <v>27</v>
      </c>
    </row>
    <row r="90" customFormat="false" ht="15" hidden="false" customHeight="false" outlineLevel="0" collapsed="false">
      <c r="A90" s="4" t="n">
        <v>89</v>
      </c>
      <c r="B90" s="4" t="s">
        <v>194</v>
      </c>
      <c r="C90" s="4" t="s">
        <v>211</v>
      </c>
      <c r="D90" s="4" t="s">
        <v>213</v>
      </c>
      <c r="E90" s="5" t="s">
        <v>67</v>
      </c>
      <c r="F90" s="6" t="n">
        <v>132</v>
      </c>
      <c r="G90" s="6" t="n">
        <v>89.76</v>
      </c>
      <c r="H90" s="5" t="n">
        <v>6</v>
      </c>
      <c r="I90" s="5" t="s">
        <v>26</v>
      </c>
      <c r="J90" s="7" t="n">
        <v>0.32</v>
      </c>
      <c r="K90" s="6" t="n">
        <v>456.41</v>
      </c>
      <c r="L90" s="7" t="n">
        <v>0.09</v>
      </c>
      <c r="M90" s="6" t="n">
        <v>41.07</v>
      </c>
      <c r="N90" s="7" t="n">
        <v>0.09</v>
      </c>
      <c r="O90" s="6" t="n">
        <v>41.07</v>
      </c>
      <c r="P90" s="6" t="n">
        <f aca="false">K90+M90+O90</f>
        <v>538.55</v>
      </c>
      <c r="Q90" s="8" t="n">
        <f aca="false">ROUND(K90/H90,2)</f>
        <v>76.07</v>
      </c>
      <c r="R90" s="6" t="n">
        <f aca="false">F90*H90</f>
        <v>792</v>
      </c>
      <c r="S90" s="6" t="n">
        <f aca="false">ROUND(G90*H90/1.18,2)</f>
        <v>456.41</v>
      </c>
      <c r="T90" s="6" t="n">
        <f aca="false">ROUND(S90-K90,2)</f>
        <v>0</v>
      </c>
      <c r="U90" s="5" t="n">
        <v>4</v>
      </c>
      <c r="V90" s="9" t="s">
        <v>27</v>
      </c>
    </row>
    <row r="91" customFormat="false" ht="15" hidden="false" customHeight="false" outlineLevel="0" collapsed="false">
      <c r="A91" s="4" t="n">
        <v>90</v>
      </c>
      <c r="B91" s="4" t="s">
        <v>194</v>
      </c>
      <c r="C91" s="4" t="s">
        <v>214</v>
      </c>
      <c r="D91" s="4" t="s">
        <v>215</v>
      </c>
      <c r="E91" s="5" t="s">
        <v>67</v>
      </c>
      <c r="F91" s="6" t="n">
        <v>122</v>
      </c>
      <c r="G91" s="6" t="n">
        <v>82.96</v>
      </c>
      <c r="H91" s="5" t="n">
        <v>6</v>
      </c>
      <c r="I91" s="5" t="s">
        <v>26</v>
      </c>
      <c r="J91" s="7" t="n">
        <v>0.32</v>
      </c>
      <c r="K91" s="6" t="n">
        <v>421.83</v>
      </c>
      <c r="L91" s="7" t="n">
        <v>0.09</v>
      </c>
      <c r="M91" s="6" t="n">
        <v>37.96</v>
      </c>
      <c r="N91" s="7" t="n">
        <v>0.09</v>
      </c>
      <c r="O91" s="6" t="n">
        <v>37.96</v>
      </c>
      <c r="P91" s="6" t="n">
        <f aca="false">K91+M91+O91</f>
        <v>497.75</v>
      </c>
      <c r="Q91" s="8" t="n">
        <f aca="false">ROUND(K91/H91,2)</f>
        <v>70.31</v>
      </c>
      <c r="R91" s="6" t="n">
        <f aca="false">F91*H91</f>
        <v>732</v>
      </c>
      <c r="S91" s="6" t="n">
        <f aca="false">ROUND(G91*H91/1.18,2)</f>
        <v>421.83</v>
      </c>
      <c r="T91" s="6" t="n">
        <f aca="false">ROUND(S91-K91,2)</f>
        <v>0</v>
      </c>
      <c r="U91" s="5" t="n">
        <v>4</v>
      </c>
      <c r="V91" s="9" t="s">
        <v>27</v>
      </c>
    </row>
    <row r="92" customFormat="false" ht="15" hidden="false" customHeight="false" outlineLevel="0" collapsed="false">
      <c r="A92" s="4" t="n">
        <v>91</v>
      </c>
      <c r="B92" s="4" t="s">
        <v>194</v>
      </c>
      <c r="C92" s="4" t="s">
        <v>216</v>
      </c>
      <c r="D92" s="4" t="s">
        <v>217</v>
      </c>
      <c r="E92" s="5" t="s">
        <v>67</v>
      </c>
      <c r="F92" s="6" t="n">
        <v>118</v>
      </c>
      <c r="G92" s="6" t="n">
        <v>80.24</v>
      </c>
      <c r="H92" s="5" t="n">
        <v>6</v>
      </c>
      <c r="I92" s="5" t="s">
        <v>26</v>
      </c>
      <c r="J92" s="7" t="n">
        <v>0.32</v>
      </c>
      <c r="K92" s="6" t="n">
        <v>408</v>
      </c>
      <c r="L92" s="7" t="n">
        <v>0.09</v>
      </c>
      <c r="M92" s="6" t="n">
        <v>36.72</v>
      </c>
      <c r="N92" s="7" t="n">
        <v>0.09</v>
      </c>
      <c r="O92" s="6" t="n">
        <v>36.72</v>
      </c>
      <c r="P92" s="6" t="n">
        <f aca="false">K92+M92+O92</f>
        <v>481.44</v>
      </c>
      <c r="Q92" s="8" t="n">
        <f aca="false">ROUND(K92/H92,2)</f>
        <v>68</v>
      </c>
      <c r="R92" s="6" t="n">
        <f aca="false">F92*H92</f>
        <v>708</v>
      </c>
      <c r="S92" s="6" t="n">
        <f aca="false">ROUND(G92*H92/1.18,2)</f>
        <v>408</v>
      </c>
      <c r="T92" s="6" t="n">
        <f aca="false">ROUND(S92-K92,2)</f>
        <v>0</v>
      </c>
      <c r="U92" s="5" t="n">
        <v>4</v>
      </c>
      <c r="V92" s="9" t="s">
        <v>27</v>
      </c>
    </row>
    <row r="93" customFormat="false" ht="15" hidden="false" customHeight="false" outlineLevel="0" collapsed="false">
      <c r="A93" s="4" t="n">
        <v>92</v>
      </c>
      <c r="B93" s="4" t="s">
        <v>194</v>
      </c>
      <c r="C93" s="4" t="s">
        <v>218</v>
      </c>
      <c r="D93" s="4" t="s">
        <v>219</v>
      </c>
      <c r="E93" s="5" t="s">
        <v>67</v>
      </c>
      <c r="F93" s="6" t="n">
        <v>256</v>
      </c>
      <c r="G93" s="6" t="n">
        <v>166.4</v>
      </c>
      <c r="H93" s="5" t="n">
        <v>10</v>
      </c>
      <c r="I93" s="5" t="s">
        <v>149</v>
      </c>
      <c r="J93" s="7" t="n">
        <v>0.35</v>
      </c>
      <c r="K93" s="6" t="n">
        <v>1410.17</v>
      </c>
      <c r="L93" s="7" t="n">
        <v>0.09</v>
      </c>
      <c r="M93" s="6" t="n">
        <v>126.91</v>
      </c>
      <c r="N93" s="7" t="n">
        <v>0.09</v>
      </c>
      <c r="O93" s="6" t="n">
        <v>126.91</v>
      </c>
      <c r="P93" s="6" t="n">
        <f aca="false">K93+M93+O93</f>
        <v>1663.99</v>
      </c>
      <c r="Q93" s="8" t="n">
        <f aca="false">ROUND(K93/H93,2)</f>
        <v>141.02</v>
      </c>
      <c r="R93" s="6" t="n">
        <f aca="false">F93*H93</f>
        <v>2560</v>
      </c>
      <c r="S93" s="6" t="n">
        <f aca="false">ROUND(G93*H93/1.18,2)</f>
        <v>1410.17</v>
      </c>
      <c r="T93" s="6" t="n">
        <f aca="false">ROUND(S93-K93,2)</f>
        <v>0</v>
      </c>
      <c r="U93" s="5" t="n">
        <v>4</v>
      </c>
      <c r="V93" s="9" t="s">
        <v>27</v>
      </c>
    </row>
    <row r="94" customFormat="false" ht="15" hidden="false" customHeight="false" outlineLevel="0" collapsed="false">
      <c r="A94" s="4" t="n">
        <v>93</v>
      </c>
      <c r="B94" s="4" t="s">
        <v>194</v>
      </c>
      <c r="C94" s="4" t="s">
        <v>220</v>
      </c>
      <c r="D94" s="4" t="s">
        <v>221</v>
      </c>
      <c r="E94" s="5" t="s">
        <v>67</v>
      </c>
      <c r="F94" s="6" t="n">
        <v>300</v>
      </c>
      <c r="G94" s="6" t="n">
        <v>195</v>
      </c>
      <c r="H94" s="5" t="n">
        <v>10</v>
      </c>
      <c r="I94" s="5" t="s">
        <v>149</v>
      </c>
      <c r="J94" s="7" t="n">
        <v>0.35</v>
      </c>
      <c r="K94" s="6" t="n">
        <v>1652.54</v>
      </c>
      <c r="L94" s="7" t="n">
        <v>0.09</v>
      </c>
      <c r="M94" s="6" t="n">
        <v>148.73</v>
      </c>
      <c r="N94" s="7" t="n">
        <v>0.09</v>
      </c>
      <c r="O94" s="6" t="n">
        <v>148.73</v>
      </c>
      <c r="P94" s="6" t="n">
        <f aca="false">K94+M94+O94</f>
        <v>1950</v>
      </c>
      <c r="Q94" s="8" t="n">
        <f aca="false">ROUND(K94/H94,2)</f>
        <v>165.25</v>
      </c>
      <c r="R94" s="6" t="n">
        <f aca="false">F94*H94</f>
        <v>3000</v>
      </c>
      <c r="S94" s="6" t="n">
        <f aca="false">ROUND(G94*H94/1.18,2)</f>
        <v>1652.54</v>
      </c>
      <c r="T94" s="6" t="n">
        <f aca="false">ROUND(S94-K94,2)</f>
        <v>0</v>
      </c>
      <c r="U94" s="5" t="n">
        <v>4</v>
      </c>
      <c r="V94" s="9" t="s">
        <v>27</v>
      </c>
    </row>
    <row r="95" customFormat="false" ht="15" hidden="false" customHeight="false" outlineLevel="0" collapsed="false">
      <c r="A95" s="4" t="n">
        <v>94</v>
      </c>
      <c r="B95" s="4" t="s">
        <v>194</v>
      </c>
      <c r="C95" s="4" t="s">
        <v>222</v>
      </c>
      <c r="D95" s="4" t="s">
        <v>223</v>
      </c>
      <c r="E95" s="5" t="s">
        <v>67</v>
      </c>
      <c r="F95" s="6" t="n">
        <v>132</v>
      </c>
      <c r="G95" s="6" t="n">
        <v>89.76</v>
      </c>
      <c r="H95" s="5" t="n">
        <v>4</v>
      </c>
      <c r="I95" s="5" t="s">
        <v>26</v>
      </c>
      <c r="J95" s="7" t="n">
        <v>0.32</v>
      </c>
      <c r="K95" s="6" t="n">
        <v>304.27</v>
      </c>
      <c r="L95" s="7" t="n">
        <v>0.09</v>
      </c>
      <c r="M95" s="6" t="n">
        <v>27.38</v>
      </c>
      <c r="N95" s="7" t="n">
        <v>0.09</v>
      </c>
      <c r="O95" s="6" t="n">
        <v>27.38</v>
      </c>
      <c r="P95" s="6" t="n">
        <f aca="false">K95+M95+O95</f>
        <v>359.03</v>
      </c>
      <c r="Q95" s="8" t="n">
        <f aca="false">ROUND(K95/H95,2)</f>
        <v>76.07</v>
      </c>
      <c r="R95" s="6" t="n">
        <f aca="false">F95*H95</f>
        <v>528</v>
      </c>
      <c r="S95" s="6" t="n">
        <f aca="false">ROUND(G95*H95/1.18,2)</f>
        <v>304.27</v>
      </c>
      <c r="T95" s="6" t="n">
        <f aca="false">ROUND(S95-K95,2)</f>
        <v>0</v>
      </c>
      <c r="U95" s="5" t="n">
        <v>4</v>
      </c>
      <c r="V95" s="9" t="s">
        <v>27</v>
      </c>
    </row>
    <row r="96" customFormat="false" ht="15" hidden="false" customHeight="false" outlineLevel="0" collapsed="false">
      <c r="A96" s="4" t="n">
        <v>95</v>
      </c>
      <c r="B96" s="4" t="s">
        <v>194</v>
      </c>
      <c r="C96" s="4" t="s">
        <v>224</v>
      </c>
      <c r="D96" s="4" t="s">
        <v>225</v>
      </c>
      <c r="E96" s="5" t="s">
        <v>67</v>
      </c>
      <c r="F96" s="6" t="n">
        <v>132</v>
      </c>
      <c r="G96" s="6" t="n">
        <v>89.76</v>
      </c>
      <c r="H96" s="5" t="n">
        <v>4</v>
      </c>
      <c r="I96" s="5" t="s">
        <v>26</v>
      </c>
      <c r="J96" s="7" t="n">
        <v>0.32</v>
      </c>
      <c r="K96" s="6" t="n">
        <v>304.27</v>
      </c>
      <c r="L96" s="7" t="n">
        <v>0.09</v>
      </c>
      <c r="M96" s="6" t="n">
        <v>27.38</v>
      </c>
      <c r="N96" s="7" t="n">
        <v>0.09</v>
      </c>
      <c r="O96" s="6" t="n">
        <v>27.38</v>
      </c>
      <c r="P96" s="6" t="n">
        <f aca="false">K96+M96+O96</f>
        <v>359.03</v>
      </c>
      <c r="Q96" s="8" t="n">
        <f aca="false">ROUND(K96/H96,2)</f>
        <v>76.07</v>
      </c>
      <c r="R96" s="6" t="n">
        <f aca="false">F96*H96</f>
        <v>528</v>
      </c>
      <c r="S96" s="6" t="n">
        <f aca="false">ROUND(G96*H96/1.18,2)</f>
        <v>304.27</v>
      </c>
      <c r="T96" s="6" t="n">
        <f aca="false">ROUND(S96-K96,2)</f>
        <v>0</v>
      </c>
      <c r="U96" s="5" t="n">
        <v>4</v>
      </c>
      <c r="V96" s="9" t="s">
        <v>27</v>
      </c>
    </row>
    <row r="97" customFormat="false" ht="15" hidden="false" customHeight="false" outlineLevel="0" collapsed="false">
      <c r="A97" s="4" t="n">
        <v>96</v>
      </c>
      <c r="B97" s="4" t="s">
        <v>226</v>
      </c>
      <c r="C97" s="4" t="s">
        <v>227</v>
      </c>
      <c r="D97" s="4" t="s">
        <v>228</v>
      </c>
      <c r="E97" s="5" t="s">
        <v>229</v>
      </c>
      <c r="F97" s="6" t="n">
        <v>250</v>
      </c>
      <c r="G97" s="6" t="n">
        <v>137.5</v>
      </c>
      <c r="H97" s="5" t="n">
        <v>3</v>
      </c>
      <c r="I97" s="5" t="s">
        <v>26</v>
      </c>
      <c r="J97" s="7" t="n">
        <v>0.45</v>
      </c>
      <c r="K97" s="6" t="n">
        <v>349.58</v>
      </c>
      <c r="L97" s="7" t="n">
        <v>0.09</v>
      </c>
      <c r="M97" s="6" t="n">
        <v>31.46</v>
      </c>
      <c r="N97" s="7" t="n">
        <v>0.09</v>
      </c>
      <c r="O97" s="6" t="n">
        <v>31.46</v>
      </c>
      <c r="P97" s="6" t="n">
        <f aca="false">K97+M97+O97</f>
        <v>412.5</v>
      </c>
      <c r="Q97" s="8" t="n">
        <f aca="false">ROUND(K97/H97,2)</f>
        <v>116.53</v>
      </c>
      <c r="R97" s="6" t="n">
        <f aca="false">F97*H97</f>
        <v>750</v>
      </c>
      <c r="S97" s="6" t="n">
        <f aca="false">ROUND(G97*H97/1.18,2)</f>
        <v>349.58</v>
      </c>
      <c r="T97" s="6" t="n">
        <f aca="false">ROUND(S97-K97,2)</f>
        <v>0</v>
      </c>
      <c r="U97" s="5" t="n">
        <v>4</v>
      </c>
      <c r="V97" s="9" t="s">
        <v>27</v>
      </c>
    </row>
    <row r="98" customFormat="false" ht="15" hidden="false" customHeight="false" outlineLevel="0" collapsed="false">
      <c r="A98" s="4" t="n">
        <v>97</v>
      </c>
      <c r="B98" s="4" t="s">
        <v>230</v>
      </c>
      <c r="C98" s="4" t="s">
        <v>231</v>
      </c>
      <c r="D98" s="4" t="s">
        <v>232</v>
      </c>
      <c r="E98" s="5" t="s">
        <v>233</v>
      </c>
      <c r="F98" s="6" t="n">
        <v>780</v>
      </c>
      <c r="G98" s="6" t="n">
        <v>780</v>
      </c>
      <c r="H98" s="5" t="n">
        <v>3</v>
      </c>
      <c r="I98" s="5" t="s">
        <v>26</v>
      </c>
      <c r="J98" s="7"/>
      <c r="K98" s="6" t="n">
        <v>1983.05</v>
      </c>
      <c r="L98" s="7" t="n">
        <v>0.09</v>
      </c>
      <c r="M98" s="6" t="n">
        <v>178.47</v>
      </c>
      <c r="N98" s="7" t="n">
        <v>0.09</v>
      </c>
      <c r="O98" s="6" t="n">
        <v>178.47</v>
      </c>
      <c r="P98" s="6" t="n">
        <f aca="false">K98+M98+O98</f>
        <v>2339.99</v>
      </c>
      <c r="Q98" s="8" t="n">
        <f aca="false">ROUND(K98/H98,2)</f>
        <v>661.02</v>
      </c>
      <c r="R98" s="6" t="n">
        <f aca="false">F98*H98</f>
        <v>2340</v>
      </c>
      <c r="S98" s="6" t="n">
        <f aca="false">ROUND(G98*H98/1.18,2)</f>
        <v>1983.05</v>
      </c>
      <c r="T98" s="6" t="n">
        <f aca="false">ROUND(S98-K98,2)</f>
        <v>0</v>
      </c>
      <c r="U98" s="5" t="n">
        <v>4</v>
      </c>
      <c r="V98" s="9" t="s">
        <v>27</v>
      </c>
    </row>
    <row r="99" customFormat="false" ht="15" hidden="false" customHeight="false" outlineLevel="0" collapsed="false">
      <c r="A99" s="4" t="n">
        <v>98</v>
      </c>
      <c r="B99" s="4" t="s">
        <v>230</v>
      </c>
      <c r="C99" s="4" t="s">
        <v>234</v>
      </c>
      <c r="D99" s="4" t="s">
        <v>235</v>
      </c>
      <c r="E99" s="5" t="s">
        <v>233</v>
      </c>
      <c r="F99" s="6" t="n">
        <v>780</v>
      </c>
      <c r="G99" s="6" t="n">
        <v>780</v>
      </c>
      <c r="H99" s="5" t="n">
        <v>2</v>
      </c>
      <c r="I99" s="5" t="s">
        <v>26</v>
      </c>
      <c r="J99" s="7"/>
      <c r="K99" s="6" t="n">
        <v>1322.03</v>
      </c>
      <c r="L99" s="7" t="n">
        <v>0.09</v>
      </c>
      <c r="M99" s="6" t="n">
        <v>118.98</v>
      </c>
      <c r="N99" s="7" t="n">
        <v>0.09</v>
      </c>
      <c r="O99" s="6" t="n">
        <v>118.98</v>
      </c>
      <c r="P99" s="6" t="n">
        <f aca="false">K99+M99+O99</f>
        <v>1559.99</v>
      </c>
      <c r="Q99" s="8" t="n">
        <f aca="false">ROUND(K99/H99,2)</f>
        <v>661.02</v>
      </c>
      <c r="R99" s="6" t="n">
        <f aca="false">F99*H99</f>
        <v>1560</v>
      </c>
      <c r="S99" s="6" t="n">
        <f aca="false">ROUND(G99*H99/1.18,2)</f>
        <v>1322.03</v>
      </c>
      <c r="T99" s="6" t="n">
        <f aca="false">ROUND(S99-K99,2)</f>
        <v>0</v>
      </c>
      <c r="U99" s="5" t="n">
        <v>4</v>
      </c>
      <c r="V99" s="9" t="s">
        <v>27</v>
      </c>
    </row>
    <row r="100" customFormat="false" ht="15" hidden="false" customHeight="false" outlineLevel="0" collapsed="false">
      <c r="A100" s="4" t="n">
        <v>99</v>
      </c>
      <c r="B100" s="4" t="s">
        <v>230</v>
      </c>
      <c r="C100" s="4" t="s">
        <v>236</v>
      </c>
      <c r="D100" s="4" t="s">
        <v>237</v>
      </c>
      <c r="E100" s="5" t="s">
        <v>233</v>
      </c>
      <c r="F100" s="6" t="n">
        <v>780</v>
      </c>
      <c r="G100" s="6" t="n">
        <v>780</v>
      </c>
      <c r="H100" s="5" t="n">
        <v>2</v>
      </c>
      <c r="I100" s="5" t="s">
        <v>26</v>
      </c>
      <c r="J100" s="7"/>
      <c r="K100" s="6" t="n">
        <v>1322.03</v>
      </c>
      <c r="L100" s="7" t="n">
        <v>0.09</v>
      </c>
      <c r="M100" s="6" t="n">
        <v>118.98</v>
      </c>
      <c r="N100" s="7" t="n">
        <v>0.09</v>
      </c>
      <c r="O100" s="6" t="n">
        <v>118.98</v>
      </c>
      <c r="P100" s="6" t="n">
        <f aca="false">K100+M100+O100</f>
        <v>1559.99</v>
      </c>
      <c r="Q100" s="8" t="n">
        <f aca="false">ROUND(K100/H100,2)</f>
        <v>661.02</v>
      </c>
      <c r="R100" s="6" t="n">
        <f aca="false">F100*H100</f>
        <v>1560</v>
      </c>
      <c r="S100" s="6" t="n">
        <f aca="false">ROUND(G100*H100/1.18,2)</f>
        <v>1322.03</v>
      </c>
      <c r="T100" s="6" t="n">
        <f aca="false">ROUND(S100-K100,2)</f>
        <v>0</v>
      </c>
      <c r="U100" s="5" t="n">
        <v>4</v>
      </c>
      <c r="V100" s="9" t="s">
        <v>27</v>
      </c>
    </row>
    <row r="101" customFormat="false" ht="15" hidden="false" customHeight="false" outlineLevel="0" collapsed="false">
      <c r="A101" s="4" t="n">
        <v>100</v>
      </c>
      <c r="B101" s="4" t="s">
        <v>230</v>
      </c>
      <c r="C101" s="4" t="s">
        <v>238</v>
      </c>
      <c r="D101" s="4" t="s">
        <v>239</v>
      </c>
      <c r="E101" s="5" t="s">
        <v>233</v>
      </c>
      <c r="F101" s="6" t="n">
        <v>780</v>
      </c>
      <c r="G101" s="6" t="n">
        <v>780</v>
      </c>
      <c r="H101" s="5" t="n">
        <v>2</v>
      </c>
      <c r="I101" s="5" t="s">
        <v>26</v>
      </c>
      <c r="J101" s="7"/>
      <c r="K101" s="6" t="n">
        <v>1322.03</v>
      </c>
      <c r="L101" s="7" t="n">
        <v>0.09</v>
      </c>
      <c r="M101" s="6" t="n">
        <v>118.98</v>
      </c>
      <c r="N101" s="7" t="n">
        <v>0.09</v>
      </c>
      <c r="O101" s="6" t="n">
        <v>118.98</v>
      </c>
      <c r="P101" s="6" t="n">
        <f aca="false">K101+M101+O101</f>
        <v>1559.99</v>
      </c>
      <c r="Q101" s="8" t="n">
        <f aca="false">ROUND(K101/H101,2)</f>
        <v>661.02</v>
      </c>
      <c r="R101" s="6" t="n">
        <f aca="false">F101*H101</f>
        <v>1560</v>
      </c>
      <c r="S101" s="6" t="n">
        <f aca="false">ROUND(G101*H101/1.18,2)</f>
        <v>1322.03</v>
      </c>
      <c r="T101" s="6" t="n">
        <f aca="false">ROUND(S101-K101,2)</f>
        <v>0</v>
      </c>
      <c r="U101" s="5" t="n">
        <v>4</v>
      </c>
      <c r="V101" s="9" t="s">
        <v>27</v>
      </c>
    </row>
    <row r="102" customFormat="false" ht="15" hidden="false" customHeight="false" outlineLevel="0" collapsed="false">
      <c r="A102" s="4" t="n">
        <v>101</v>
      </c>
      <c r="B102" s="4" t="s">
        <v>230</v>
      </c>
      <c r="C102" s="4" t="s">
        <v>240</v>
      </c>
      <c r="D102" s="4" t="s">
        <v>241</v>
      </c>
      <c r="E102" s="5" t="s">
        <v>233</v>
      </c>
      <c r="F102" s="6" t="n">
        <v>780</v>
      </c>
      <c r="G102" s="6" t="n">
        <v>780</v>
      </c>
      <c r="H102" s="5" t="n">
        <v>1</v>
      </c>
      <c r="I102" s="5" t="s">
        <v>26</v>
      </c>
      <c r="J102" s="7"/>
      <c r="K102" s="6" t="n">
        <v>661.02</v>
      </c>
      <c r="L102" s="7" t="n">
        <v>0.09</v>
      </c>
      <c r="M102" s="6" t="n">
        <v>59.49</v>
      </c>
      <c r="N102" s="7" t="n">
        <v>0.09</v>
      </c>
      <c r="O102" s="6" t="n">
        <v>59.49</v>
      </c>
      <c r="P102" s="6" t="n">
        <f aca="false">K102+M102+O102</f>
        <v>780</v>
      </c>
      <c r="Q102" s="8" t="n">
        <f aca="false">ROUND(K102/H102,2)</f>
        <v>661.02</v>
      </c>
      <c r="R102" s="6" t="n">
        <f aca="false">F102*H102</f>
        <v>780</v>
      </c>
      <c r="S102" s="6" t="n">
        <f aca="false">ROUND(G102*H102/1.18,2)</f>
        <v>661.02</v>
      </c>
      <c r="T102" s="6" t="n">
        <f aca="false">ROUND(S102-K102,2)</f>
        <v>0</v>
      </c>
      <c r="U102" s="5" t="n">
        <v>4</v>
      </c>
      <c r="V102" s="9" t="s">
        <v>27</v>
      </c>
    </row>
    <row r="103" customFormat="false" ht="15" hidden="false" customHeight="false" outlineLevel="0" collapsed="false">
      <c r="A103" s="4" t="n">
        <v>102</v>
      </c>
      <c r="B103" s="4" t="s">
        <v>242</v>
      </c>
      <c r="C103" s="4" t="s">
        <v>243</v>
      </c>
      <c r="D103" s="4" t="s">
        <v>244</v>
      </c>
      <c r="E103" s="5" t="s">
        <v>67</v>
      </c>
      <c r="F103" s="6" t="n">
        <v>286</v>
      </c>
      <c r="G103" s="6" t="n">
        <v>157.3</v>
      </c>
      <c r="H103" s="5" t="n">
        <v>10</v>
      </c>
      <c r="I103" s="5" t="s">
        <v>149</v>
      </c>
      <c r="J103" s="7" t="n">
        <v>0.45</v>
      </c>
      <c r="K103" s="6" t="n">
        <v>1333.05</v>
      </c>
      <c r="L103" s="7" t="n">
        <v>0.09</v>
      </c>
      <c r="M103" s="6" t="n">
        <v>119.97</v>
      </c>
      <c r="N103" s="7" t="n">
        <v>0.09</v>
      </c>
      <c r="O103" s="6" t="n">
        <v>119.97</v>
      </c>
      <c r="P103" s="6" t="n">
        <f aca="false">K103+M103+O103</f>
        <v>1572.99</v>
      </c>
      <c r="Q103" s="8" t="n">
        <f aca="false">ROUND(K103/H103,2)</f>
        <v>133.31</v>
      </c>
      <c r="R103" s="6" t="n">
        <f aca="false">F103*H103</f>
        <v>2860</v>
      </c>
      <c r="S103" s="6" t="n">
        <f aca="false">ROUND(G103*H103/1.18,2)</f>
        <v>1333.05</v>
      </c>
      <c r="T103" s="6" t="n">
        <f aca="false">ROUND(S103-K103,2)</f>
        <v>0</v>
      </c>
      <c r="U103" s="5" t="n">
        <v>4</v>
      </c>
      <c r="V103" s="9" t="s">
        <v>27</v>
      </c>
    </row>
    <row r="104" customFormat="false" ht="15" hidden="false" customHeight="false" outlineLevel="0" collapsed="false">
      <c r="A104" s="4" t="n">
        <v>103</v>
      </c>
      <c r="B104" s="4" t="s">
        <v>242</v>
      </c>
      <c r="C104" s="4" t="s">
        <v>245</v>
      </c>
      <c r="D104" s="4" t="s">
        <v>246</v>
      </c>
      <c r="E104" s="5" t="s">
        <v>67</v>
      </c>
      <c r="F104" s="6" t="n">
        <v>250</v>
      </c>
      <c r="G104" s="6" t="n">
        <v>137.5</v>
      </c>
      <c r="H104" s="5" t="n">
        <v>10</v>
      </c>
      <c r="I104" s="5" t="s">
        <v>149</v>
      </c>
      <c r="J104" s="7" t="n">
        <v>0.45</v>
      </c>
      <c r="K104" s="6" t="n">
        <v>1165.25</v>
      </c>
      <c r="L104" s="7" t="n">
        <v>0.09</v>
      </c>
      <c r="M104" s="6" t="n">
        <v>104.87</v>
      </c>
      <c r="N104" s="7" t="n">
        <v>0.09</v>
      </c>
      <c r="O104" s="6" t="n">
        <v>104.87</v>
      </c>
      <c r="P104" s="6" t="n">
        <f aca="false">K104+M104+O104</f>
        <v>1374.99</v>
      </c>
      <c r="Q104" s="8" t="n">
        <f aca="false">ROUND(K104/H104,2)</f>
        <v>116.53</v>
      </c>
      <c r="R104" s="6" t="n">
        <f aca="false">F104*H104</f>
        <v>2500</v>
      </c>
      <c r="S104" s="6" t="n">
        <f aca="false">ROUND(G104*H104/1.18,2)</f>
        <v>1165.25</v>
      </c>
      <c r="T104" s="6" t="n">
        <f aca="false">ROUND(S104-K104,2)</f>
        <v>0</v>
      </c>
      <c r="U104" s="5" t="n">
        <v>4</v>
      </c>
      <c r="V104" s="9" t="s">
        <v>27</v>
      </c>
    </row>
    <row r="105" customFormat="false" ht="15" hidden="false" customHeight="false" outlineLevel="0" collapsed="false">
      <c r="A105" s="4" t="n">
        <v>104</v>
      </c>
      <c r="B105" s="4" t="s">
        <v>242</v>
      </c>
      <c r="C105" s="4" t="s">
        <v>247</v>
      </c>
      <c r="D105" s="4" t="s">
        <v>248</v>
      </c>
      <c r="E105" s="5" t="s">
        <v>67</v>
      </c>
      <c r="F105" s="6" t="n">
        <v>135</v>
      </c>
      <c r="G105" s="6" t="n">
        <v>74.25</v>
      </c>
      <c r="H105" s="5" t="n">
        <v>8</v>
      </c>
      <c r="I105" s="5" t="s">
        <v>26</v>
      </c>
      <c r="J105" s="7" t="n">
        <v>0.45</v>
      </c>
      <c r="K105" s="6" t="n">
        <v>503.39</v>
      </c>
      <c r="L105" s="7" t="n">
        <v>0.09</v>
      </c>
      <c r="M105" s="6" t="n">
        <v>45.3</v>
      </c>
      <c r="N105" s="7" t="n">
        <v>0.09</v>
      </c>
      <c r="O105" s="6" t="n">
        <v>45.3</v>
      </c>
      <c r="P105" s="6" t="n">
        <f aca="false">K105+M105+O105</f>
        <v>593.99</v>
      </c>
      <c r="Q105" s="8" t="n">
        <f aca="false">ROUND(K105/H105,2)</f>
        <v>62.92</v>
      </c>
      <c r="R105" s="6" t="n">
        <f aca="false">F105*H105</f>
        <v>1080</v>
      </c>
      <c r="S105" s="6" t="n">
        <f aca="false">ROUND(G105*H105/1.18,2)</f>
        <v>503.39</v>
      </c>
      <c r="T105" s="6" t="n">
        <f aca="false">ROUND(S105-K105,2)</f>
        <v>0</v>
      </c>
      <c r="U105" s="5" t="n">
        <v>4</v>
      </c>
      <c r="V105" s="9" t="s">
        <v>27</v>
      </c>
    </row>
    <row r="106" customFormat="false" ht="15" hidden="false" customHeight="false" outlineLevel="0" collapsed="false">
      <c r="A106" s="4" t="n">
        <v>105</v>
      </c>
      <c r="B106" s="4" t="s">
        <v>242</v>
      </c>
      <c r="C106" s="4" t="s">
        <v>249</v>
      </c>
      <c r="D106" s="4" t="s">
        <v>250</v>
      </c>
      <c r="E106" s="5" t="s">
        <v>67</v>
      </c>
      <c r="F106" s="6" t="n">
        <v>135</v>
      </c>
      <c r="G106" s="6" t="n">
        <v>74.25</v>
      </c>
      <c r="H106" s="5" t="n">
        <v>8</v>
      </c>
      <c r="I106" s="5" t="s">
        <v>26</v>
      </c>
      <c r="J106" s="7" t="n">
        <v>0.45</v>
      </c>
      <c r="K106" s="6" t="n">
        <v>503.39</v>
      </c>
      <c r="L106" s="7" t="n">
        <v>0.09</v>
      </c>
      <c r="M106" s="6" t="n">
        <v>45.3</v>
      </c>
      <c r="N106" s="7" t="n">
        <v>0.09</v>
      </c>
      <c r="O106" s="6" t="n">
        <v>45.3</v>
      </c>
      <c r="P106" s="6" t="n">
        <f aca="false">K106+M106+O106</f>
        <v>593.99</v>
      </c>
      <c r="Q106" s="8" t="n">
        <f aca="false">ROUND(K106/H106,2)</f>
        <v>62.92</v>
      </c>
      <c r="R106" s="6" t="n">
        <f aca="false">F106*H106</f>
        <v>1080</v>
      </c>
      <c r="S106" s="6" t="n">
        <f aca="false">ROUND(G106*H106/1.18,2)</f>
        <v>503.39</v>
      </c>
      <c r="T106" s="6" t="n">
        <f aca="false">ROUND(S106-K106,2)</f>
        <v>0</v>
      </c>
      <c r="U106" s="5" t="n">
        <v>4</v>
      </c>
      <c r="V106" s="9" t="s">
        <v>27</v>
      </c>
    </row>
    <row r="107" customFormat="false" ht="15" hidden="false" customHeight="false" outlineLevel="0" collapsed="false">
      <c r="A107" s="11" t="s">
        <v>251</v>
      </c>
      <c r="B107" s="11"/>
      <c r="C107" s="11"/>
      <c r="D107" s="11" t="s">
        <v>252</v>
      </c>
      <c r="E107" s="11"/>
      <c r="F107" s="11"/>
      <c r="G107" s="11"/>
      <c r="H107" s="11" t="n">
        <f aca="false">SUM(H2:H106)</f>
        <v>679</v>
      </c>
      <c r="I107" s="11"/>
      <c r="J107" s="11"/>
      <c r="K107" s="12" t="n">
        <f aca="false">SUM(K2:K106)</f>
        <v>57468.52</v>
      </c>
      <c r="L107" s="11"/>
      <c r="M107" s="12" t="n">
        <f aca="false">SUM(M2:M106)</f>
        <v>5171.91</v>
      </c>
      <c r="N107" s="11"/>
      <c r="O107" s="12" t="n">
        <f aca="false">SUM(O2:O106)</f>
        <v>5171.91</v>
      </c>
      <c r="P107" s="12" t="n">
        <f aca="false">SUM(P2:P106)</f>
        <v>67812.34</v>
      </c>
      <c r="Q107" s="11"/>
      <c r="R107" s="12" t="n">
        <f aca="false">SUM(R2:R106)</f>
        <v>106552</v>
      </c>
      <c r="S107" s="12" t="n">
        <f aca="false">SUM(S2:S106)</f>
        <v>57468.52</v>
      </c>
      <c r="T107" s="12" t="n">
        <f aca="false">SUM(T2:T106)</f>
        <v>0</v>
      </c>
      <c r="U107" s="11"/>
      <c r="V107" s="11"/>
    </row>
    <row r="109" customFormat="false" ht="33.75" hidden="false" customHeight="true" outlineLevel="0" collapsed="false">
      <c r="A109" s="13" t="s">
        <v>253</v>
      </c>
    </row>
    <row r="110" customFormat="false" ht="33.75" hidden="false" customHeight="true" outlineLevel="0" collapsed="false">
      <c r="A110" s="13" t="s">
        <v>254</v>
      </c>
    </row>
    <row r="111" customFormat="false" ht="33.75" hidden="false" customHeight="true" outlineLevel="0" collapsed="false">
      <c r="A111" s="13" t="s">
        <v>255</v>
      </c>
    </row>
    <row r="112" customFormat="false" ht="33.75" hidden="false" customHeight="true" outlineLevel="0" collapsed="false">
      <c r="A112" s="13" t="s">
        <v>256</v>
      </c>
    </row>
    <row r="113" customFormat="false" ht="33.75" hidden="false" customHeight="true" outlineLevel="0" collapsed="false">
      <c r="A113" s="13" t="s">
        <v>257</v>
      </c>
    </row>
  </sheetData>
  <autoFilter ref="A1:V1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8"/>
    <col collapsed="false" customWidth="true" hidden="false" outlineLevel="0" max="4" min="3" style="1" width="15"/>
    <col collapsed="false" customWidth="true" hidden="false" outlineLevel="0" max="5" min="5" style="1" width="9"/>
    <col collapsed="false" customWidth="true" hidden="false" outlineLevel="0" max="7" min="6" style="1" width="14"/>
    <col collapsed="false" customWidth="true" hidden="false" outlineLevel="0" max="8" min="8" style="1" width="9"/>
    <col collapsed="false" customWidth="true" hidden="false" outlineLevel="0" max="9" min="9" style="1" width="44"/>
  </cols>
  <sheetData>
    <row r="1" customFormat="false" ht="16.15" hidden="false" customHeight="false" outlineLevel="0" collapsed="false">
      <c r="A1" s="14" t="s">
        <v>258</v>
      </c>
    </row>
    <row r="2" customFormat="false" ht="15" hidden="false" customHeight="false" outlineLevel="0" collapsed="false">
      <c r="A2" s="15" t="s">
        <v>259</v>
      </c>
    </row>
    <row r="4" customFormat="false" ht="31.5" hidden="false" customHeight="true" outlineLevel="0" collapsed="false">
      <c r="A4" s="2" t="s">
        <v>1</v>
      </c>
      <c r="B4" s="2" t="s">
        <v>260</v>
      </c>
      <c r="C4" s="2" t="s">
        <v>261</v>
      </c>
      <c r="D4" s="2" t="s">
        <v>262</v>
      </c>
      <c r="E4" s="2" t="s">
        <v>19</v>
      </c>
      <c r="F4" s="2" t="s">
        <v>263</v>
      </c>
      <c r="G4" s="2" t="s">
        <v>264</v>
      </c>
      <c r="H4" s="2" t="s">
        <v>19</v>
      </c>
      <c r="I4" s="2" t="s">
        <v>265</v>
      </c>
    </row>
    <row r="5" customFormat="false" ht="15" hidden="false" customHeight="false" outlineLevel="0" collapsed="false">
      <c r="A5" s="4" t="s">
        <v>22</v>
      </c>
      <c r="B5" s="5" t="n">
        <v>18</v>
      </c>
      <c r="C5" s="16" t="n">
        <v>12317</v>
      </c>
      <c r="D5" s="6" t="n">
        <f aca="false">ROUND(SUMIF('Line Items'!$B$2:$B$106,$A5,'Line Items'!$R$2:$R$106),2)</f>
        <v>12317</v>
      </c>
      <c r="E5" s="6" t="n">
        <f aca="false">ROUND(D5-C5,2)</f>
        <v>0</v>
      </c>
      <c r="F5" s="16" t="n">
        <v>5949.74</v>
      </c>
      <c r="G5" s="6" t="n">
        <f aca="false">ROUND(SUMIF('Line Items'!$B$2:$B$106,$A5,'Line Items'!$K$2:$K$106),2)</f>
        <v>5949.74</v>
      </c>
      <c r="H5" s="6" t="n">
        <f aca="false">ROUND(G5-F5,2)</f>
        <v>0</v>
      </c>
      <c r="I5" s="17" t="s">
        <v>266</v>
      </c>
    </row>
    <row r="6" customFormat="false" ht="15" hidden="false" customHeight="false" outlineLevel="0" collapsed="false">
      <c r="A6" s="4" t="s">
        <v>64</v>
      </c>
      <c r="B6" s="5" t="n">
        <v>2</v>
      </c>
      <c r="C6" s="16" t="n">
        <v>1640</v>
      </c>
      <c r="D6" s="6" t="n">
        <f aca="false">ROUND(SUMIF('Line Items'!$B$2:$B$106,$A6,'Line Items'!$R$2:$R$106),2)</f>
        <v>1640</v>
      </c>
      <c r="E6" s="6" t="n">
        <f aca="false">ROUND(D6-C6,2)</f>
        <v>0</v>
      </c>
      <c r="F6" s="16" t="n">
        <v>861.7</v>
      </c>
      <c r="G6" s="6" t="n">
        <f aca="false">ROUND(SUMIF('Line Items'!$B$2:$B$106,$A6,'Line Items'!$K$2:$K$106),2)</f>
        <v>861.7</v>
      </c>
      <c r="H6" s="6" t="n">
        <f aca="false">ROUND(G6-F6,2)</f>
        <v>0</v>
      </c>
      <c r="I6" s="17" t="s">
        <v>267</v>
      </c>
    </row>
    <row r="7" customFormat="false" ht="15" hidden="false" customHeight="false" outlineLevel="0" collapsed="false">
      <c r="A7" s="4" t="s">
        <v>70</v>
      </c>
      <c r="B7" s="5" t="n">
        <v>1</v>
      </c>
      <c r="C7" s="16" t="n">
        <v>1600</v>
      </c>
      <c r="D7" s="6" t="n">
        <f aca="false">ROUND(SUMIF('Line Items'!$B$2:$B$106,$A7,'Line Items'!$R$2:$R$106),2)</f>
        <v>1600</v>
      </c>
      <c r="E7" s="6" t="n">
        <f aca="false">ROUND(D7-C7,2)</f>
        <v>0</v>
      </c>
      <c r="F7" s="16" t="n">
        <v>976.27</v>
      </c>
      <c r="G7" s="6" t="n">
        <f aca="false">ROUND(SUMIF('Line Items'!$B$2:$B$106,$A7,'Line Items'!$K$2:$K$106),2)</f>
        <v>976.27</v>
      </c>
      <c r="H7" s="6" t="n">
        <f aca="false">ROUND(G7-F7,2)</f>
        <v>0</v>
      </c>
      <c r="I7" s="17" t="s">
        <v>268</v>
      </c>
    </row>
    <row r="8" customFormat="false" ht="15" hidden="false" customHeight="false" outlineLevel="0" collapsed="false">
      <c r="A8" s="4" t="s">
        <v>73</v>
      </c>
      <c r="B8" s="5" t="n">
        <v>30</v>
      </c>
      <c r="C8" s="16" t="n">
        <v>23930</v>
      </c>
      <c r="D8" s="6" t="n">
        <f aca="false">ROUND(SUMIF('Line Items'!$B$2:$B$106,$A8,'Line Items'!$R$2:$R$106),2)</f>
        <v>23930</v>
      </c>
      <c r="E8" s="6" t="n">
        <f aca="false">ROUND(D8-C8,2)</f>
        <v>0</v>
      </c>
      <c r="F8" s="16" t="n">
        <v>12167.78</v>
      </c>
      <c r="G8" s="6" t="n">
        <f aca="false">ROUND(SUMIF('Line Items'!$B$2:$B$106,$A8,'Line Items'!$K$2:$K$106),2)</f>
        <v>12167.78</v>
      </c>
      <c r="H8" s="6" t="n">
        <f aca="false">ROUND(G8-F8,2)</f>
        <v>0</v>
      </c>
      <c r="I8" s="17" t="s">
        <v>269</v>
      </c>
    </row>
    <row r="9" customFormat="false" ht="15" hidden="false" customHeight="false" outlineLevel="0" collapsed="false">
      <c r="A9" s="4" t="s">
        <v>135</v>
      </c>
      <c r="B9" s="5" t="n">
        <v>27</v>
      </c>
      <c r="C9" s="16" t="n">
        <v>20331</v>
      </c>
      <c r="D9" s="6" t="n">
        <f aca="false">ROUND(SUMIF('Line Items'!$B$2:$B$106,$A9,'Line Items'!$R$2:$R$106),2)</f>
        <v>20331</v>
      </c>
      <c r="E9" s="6" t="n">
        <f aca="false">ROUND(D9-C9,2)</f>
        <v>0</v>
      </c>
      <c r="F9" s="16" t="n">
        <v>9993.19</v>
      </c>
      <c r="G9" s="6" t="n">
        <f aca="false">ROUND(SUMIF('Line Items'!$B$2:$B$106,$A9,'Line Items'!$K$2:$K$106),2)</f>
        <v>9993.19</v>
      </c>
      <c r="H9" s="6" t="n">
        <f aca="false">ROUND(G9-F9,2)</f>
        <v>0</v>
      </c>
      <c r="I9" s="17" t="s">
        <v>270</v>
      </c>
    </row>
    <row r="10" customFormat="false" ht="15" hidden="false" customHeight="false" outlineLevel="0" collapsed="false">
      <c r="A10" s="4" t="s">
        <v>194</v>
      </c>
      <c r="B10" s="5" t="n">
        <v>17</v>
      </c>
      <c r="C10" s="16" t="n">
        <v>30664</v>
      </c>
      <c r="D10" s="6" t="n">
        <f aca="false">ROUND(SUMIF('Line Items'!$B$2:$B$106,$A10,'Line Items'!$R$2:$R$106),2)</f>
        <v>30664</v>
      </c>
      <c r="E10" s="6" t="n">
        <f aca="false">ROUND(D10-C10,2)</f>
        <v>0</v>
      </c>
      <c r="F10" s="16" t="n">
        <v>17055.02</v>
      </c>
      <c r="G10" s="6" t="n">
        <f aca="false">ROUND(SUMIF('Line Items'!$B$2:$B$106,$A10,'Line Items'!$K$2:$K$106),2)</f>
        <v>17055.02</v>
      </c>
      <c r="H10" s="6" t="n">
        <f aca="false">ROUND(G10-F10,2)</f>
        <v>0</v>
      </c>
      <c r="I10" s="17" t="s">
        <v>271</v>
      </c>
    </row>
    <row r="11" customFormat="false" ht="15" hidden="false" customHeight="false" outlineLevel="0" collapsed="false">
      <c r="A11" s="4" t="s">
        <v>226</v>
      </c>
      <c r="B11" s="5" t="n">
        <v>1</v>
      </c>
      <c r="C11" s="16" t="n">
        <v>750</v>
      </c>
      <c r="D11" s="6" t="n">
        <f aca="false">ROUND(SUMIF('Line Items'!$B$2:$B$106,$A11,'Line Items'!$R$2:$R$106),2)</f>
        <v>750</v>
      </c>
      <c r="E11" s="6" t="n">
        <f aca="false">ROUND(D11-C11,2)</f>
        <v>0</v>
      </c>
      <c r="F11" s="16" t="n">
        <v>349.58</v>
      </c>
      <c r="G11" s="6" t="n">
        <f aca="false">ROUND(SUMIF('Line Items'!$B$2:$B$106,$A11,'Line Items'!$K$2:$K$106),2)</f>
        <v>349.58</v>
      </c>
      <c r="H11" s="6" t="n">
        <f aca="false">ROUND(G11-F11,2)</f>
        <v>0</v>
      </c>
      <c r="I11" s="17" t="s">
        <v>268</v>
      </c>
    </row>
    <row r="12" customFormat="false" ht="15" hidden="false" customHeight="false" outlineLevel="0" collapsed="false">
      <c r="A12" s="4" t="s">
        <v>230</v>
      </c>
      <c r="B12" s="5" t="n">
        <v>5</v>
      </c>
      <c r="C12" s="16" t="n">
        <v>7800</v>
      </c>
      <c r="D12" s="6" t="n">
        <f aca="false">ROUND(SUMIF('Line Items'!$B$2:$B$106,$A12,'Line Items'!$R$2:$R$106),2)</f>
        <v>7800</v>
      </c>
      <c r="E12" s="6" t="n">
        <f aca="false">ROUND(D12-C12,2)</f>
        <v>0</v>
      </c>
      <c r="F12" s="16" t="n">
        <v>6610.16</v>
      </c>
      <c r="G12" s="6" t="n">
        <f aca="false">ROUND(SUMIF('Line Items'!$B$2:$B$106,$A12,'Line Items'!$K$2:$K$106),2)</f>
        <v>6610.16</v>
      </c>
      <c r="H12" s="6" t="n">
        <f aca="false">ROUND(G12-F12,2)</f>
        <v>0</v>
      </c>
      <c r="I12" s="17" t="s">
        <v>272</v>
      </c>
    </row>
    <row r="13" customFormat="false" ht="15" hidden="false" customHeight="false" outlineLevel="0" collapsed="false">
      <c r="A13" s="4" t="s">
        <v>242</v>
      </c>
      <c r="B13" s="5" t="n">
        <v>4</v>
      </c>
      <c r="C13" s="16" t="n">
        <v>7520</v>
      </c>
      <c r="D13" s="6" t="n">
        <f aca="false">ROUND(SUMIF('Line Items'!$B$2:$B$106,$A13,'Line Items'!$R$2:$R$106),2)</f>
        <v>7520</v>
      </c>
      <c r="E13" s="6" t="n">
        <f aca="false">ROUND(D13-C13,2)</f>
        <v>0</v>
      </c>
      <c r="F13" s="16" t="n">
        <v>3505.08</v>
      </c>
      <c r="G13" s="6" t="n">
        <f aca="false">ROUND(SUMIF('Line Items'!$B$2:$B$106,$A13,'Line Items'!$K$2:$K$106),2)</f>
        <v>3505.08</v>
      </c>
      <c r="H13" s="6" t="n">
        <f aca="false">ROUND(G13-F13,2)</f>
        <v>0</v>
      </c>
      <c r="I13" s="17" t="s">
        <v>273</v>
      </c>
    </row>
    <row r="14" customFormat="false" ht="15" hidden="false" customHeight="false" outlineLevel="0" collapsed="false">
      <c r="A14" s="11" t="s">
        <v>251</v>
      </c>
      <c r="B14" s="11" t="n">
        <f aca="false">SUM(B5:B13)</f>
        <v>105</v>
      </c>
      <c r="C14" s="12" t="n">
        <f aca="false">SUM(C5:C13)</f>
        <v>106552</v>
      </c>
      <c r="D14" s="12" t="n">
        <f aca="false">SUM(D5:D13)</f>
        <v>106552</v>
      </c>
      <c r="E14" s="12" t="n">
        <f aca="false">SUM(E5:E13)</f>
        <v>0</v>
      </c>
      <c r="F14" s="12" t="n">
        <f aca="false">SUM(F5:F13)</f>
        <v>57468.52</v>
      </c>
      <c r="G14" s="12" t="n">
        <f aca="false">SUM(G5:G13)</f>
        <v>57468.52</v>
      </c>
      <c r="H14" s="12" t="n">
        <f aca="false">SUM(H5:H13)</f>
        <v>0</v>
      </c>
      <c r="I1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8"/>
    <col collapsed="false" customWidth="true" hidden="false" outlineLevel="0" max="4" min="3" style="1" width="16"/>
  </cols>
  <sheetData>
    <row r="1" customFormat="false" ht="16.15" hidden="false" customHeight="false" outlineLevel="0" collapsed="false">
      <c r="A1" s="14" t="s">
        <v>274</v>
      </c>
    </row>
    <row r="3" customFormat="false" ht="15" hidden="false" customHeight="false" outlineLevel="0" collapsed="false">
      <c r="A3" s="18" t="s">
        <v>275</v>
      </c>
      <c r="B3" s="19" t="s">
        <v>276</v>
      </c>
    </row>
    <row r="4" customFormat="false" ht="15" hidden="false" customHeight="false" outlineLevel="0" collapsed="false">
      <c r="A4" s="18" t="s">
        <v>277</v>
      </c>
      <c r="B4" s="19" t="s">
        <v>278</v>
      </c>
    </row>
    <row r="5" customFormat="false" ht="15" hidden="false" customHeight="false" outlineLevel="0" collapsed="false">
      <c r="A5" s="18" t="s">
        <v>279</v>
      </c>
      <c r="B5" s="19" t="s">
        <v>280</v>
      </c>
    </row>
    <row r="6" customFormat="false" ht="15" hidden="false" customHeight="false" outlineLevel="0" collapsed="false">
      <c r="A6" s="18" t="s">
        <v>281</v>
      </c>
      <c r="B6" s="19" t="s">
        <v>282</v>
      </c>
    </row>
    <row r="7" customFormat="false" ht="15" hidden="false" customHeight="false" outlineLevel="0" collapsed="false">
      <c r="A7" s="18" t="s">
        <v>283</v>
      </c>
      <c r="B7" s="19" t="s">
        <v>284</v>
      </c>
    </row>
    <row r="8" customFormat="false" ht="15" hidden="false" customHeight="false" outlineLevel="0" collapsed="false">
      <c r="A8" s="18" t="s">
        <v>285</v>
      </c>
      <c r="B8" s="19" t="s">
        <v>286</v>
      </c>
    </row>
    <row r="9" customFormat="false" ht="15" hidden="false" customHeight="false" outlineLevel="0" collapsed="false">
      <c r="A9" s="18" t="s">
        <v>287</v>
      </c>
      <c r="B9" s="19" t="s">
        <v>288</v>
      </c>
    </row>
    <row r="10" customFormat="false" ht="15" hidden="false" customHeight="false" outlineLevel="0" collapsed="false">
      <c r="A10" s="18" t="s">
        <v>289</v>
      </c>
      <c r="B10" s="19" t="s">
        <v>290</v>
      </c>
    </row>
    <row r="11" customFormat="false" ht="15" hidden="false" customHeight="false" outlineLevel="0" collapsed="false">
      <c r="A11" s="18" t="s">
        <v>291</v>
      </c>
      <c r="B11" s="19" t="s">
        <v>292</v>
      </c>
    </row>
    <row r="12" customFormat="false" ht="15" hidden="false" customHeight="false" outlineLevel="0" collapsed="false">
      <c r="A12" s="18" t="s">
        <v>293</v>
      </c>
      <c r="B12" s="19" t="s">
        <v>294</v>
      </c>
    </row>
    <row r="13" customFormat="false" ht="15" hidden="false" customHeight="false" outlineLevel="0" collapsed="false">
      <c r="A13" s="18" t="s">
        <v>295</v>
      </c>
      <c r="B13" s="19" t="s">
        <v>296</v>
      </c>
    </row>
    <row r="14" customFormat="false" ht="23.85" hidden="false" customHeight="false" outlineLevel="0" collapsed="false">
      <c r="A14" s="18" t="s">
        <v>297</v>
      </c>
      <c r="B14" s="19" t="s">
        <v>298</v>
      </c>
    </row>
    <row r="15" customFormat="false" ht="23.85" hidden="false" customHeight="false" outlineLevel="0" collapsed="false">
      <c r="A15" s="18" t="s">
        <v>299</v>
      </c>
      <c r="B15" s="19" t="s">
        <v>300</v>
      </c>
    </row>
    <row r="16" customFormat="false" ht="23.85" hidden="false" customHeight="false" outlineLevel="0" collapsed="false">
      <c r="A16" s="18" t="s">
        <v>301</v>
      </c>
      <c r="B16" s="19" t="s">
        <v>302</v>
      </c>
    </row>
    <row r="18" customFormat="false" ht="16.15" hidden="false" customHeight="false" outlineLevel="0" collapsed="false">
      <c r="A18" s="14" t="s">
        <v>303</v>
      </c>
    </row>
    <row r="19" customFormat="false" ht="15" hidden="false" customHeight="false" outlineLevel="0" collapsed="false">
      <c r="A19" s="20" t="s">
        <v>3</v>
      </c>
      <c r="B19" s="20"/>
      <c r="C19" s="20" t="s">
        <v>304</v>
      </c>
      <c r="D19" s="20" t="s">
        <v>305</v>
      </c>
    </row>
    <row r="20" customFormat="false" ht="15" hidden="false" customHeight="false" outlineLevel="0" collapsed="false">
      <c r="A20" s="4" t="s">
        <v>306</v>
      </c>
      <c r="B20" s="21"/>
      <c r="C20" s="22" t="n">
        <v>679</v>
      </c>
      <c r="D20" s="23" t="n">
        <f aca="false">'Line Items'!H107</f>
        <v>679</v>
      </c>
    </row>
    <row r="21" customFormat="false" ht="15" hidden="false" customHeight="false" outlineLevel="0" collapsed="false">
      <c r="A21" s="4" t="s">
        <v>307</v>
      </c>
      <c r="B21" s="21"/>
      <c r="C21" s="16" t="n">
        <v>57468.52</v>
      </c>
      <c r="D21" s="6" t="n">
        <f aca="false">'Line Items'!K107</f>
        <v>57468.52</v>
      </c>
    </row>
    <row r="22" customFormat="false" ht="15" hidden="false" customHeight="false" outlineLevel="0" collapsed="false">
      <c r="A22" s="4" t="s">
        <v>308</v>
      </c>
      <c r="B22" s="21"/>
      <c r="C22" s="16" t="n">
        <v>5172.18</v>
      </c>
      <c r="D22" s="6" t="n">
        <f aca="false">ROUND('Line Items'!K107*9%,2)</f>
        <v>5172.17</v>
      </c>
    </row>
    <row r="23" customFormat="false" ht="15" hidden="false" customHeight="false" outlineLevel="0" collapsed="false">
      <c r="A23" s="4" t="s">
        <v>309</v>
      </c>
      <c r="B23" s="21"/>
      <c r="C23" s="16" t="n">
        <v>5172.18</v>
      </c>
      <c r="D23" s="6" t="n">
        <f aca="false">ROUND('Line Items'!K107*9%,2)</f>
        <v>5172.17</v>
      </c>
    </row>
    <row r="24" customFormat="false" ht="15" hidden="false" customHeight="false" outlineLevel="0" collapsed="false">
      <c r="A24" s="4" t="s">
        <v>310</v>
      </c>
      <c r="B24" s="21"/>
      <c r="C24" s="16" t="n">
        <v>0.12</v>
      </c>
      <c r="D24" s="4" t="s">
        <v>311</v>
      </c>
    </row>
    <row r="25" customFormat="false" ht="15" hidden="false" customHeight="false" outlineLevel="0" collapsed="false">
      <c r="A25" s="11" t="s">
        <v>312</v>
      </c>
      <c r="B25" s="11"/>
      <c r="C25" s="12" t="n">
        <v>67813</v>
      </c>
      <c r="D25" s="11" t="s">
        <v>311</v>
      </c>
    </row>
    <row r="26" customFormat="false" ht="15" hidden="false" customHeight="false" outlineLevel="0" collapsed="false">
      <c r="A26" s="4" t="s">
        <v>313</v>
      </c>
      <c r="B26" s="21"/>
      <c r="C26" s="24" t="s">
        <v>314</v>
      </c>
      <c r="D26" s="6" t="n">
        <f aca="false">'Line Items'!R107</f>
        <v>106552</v>
      </c>
    </row>
    <row r="28" customFormat="false" ht="15" hidden="false" customHeight="false" outlineLevel="0" collapsed="false">
      <c r="A28" s="25" t="s">
        <v>315</v>
      </c>
      <c r="B28" s="26" t="s">
        <v>316</v>
      </c>
    </row>
    <row r="30" customFormat="false" ht="31.5" hidden="false" customHeight="true" outlineLevel="0" collapsed="false">
      <c r="A30" s="13" t="s">
        <v>317</v>
      </c>
    </row>
    <row r="31" customFormat="false" ht="31.5" hidden="false" customHeight="true" outlineLevel="0" collapsed="false">
      <c r="A31" s="13" t="s">
        <v>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2026-08-31T16:36:17Z</dcterms:created>
  <dc:creator>openpyxl</dc:creator>
  <dc:description/>
  <dc:language>en-US</dc:language>
  <cp:lastModifiedBy/>
  <dcterms:modified xsi:type="dcterms:W3CDTF">2026-08-31T16:36:17Z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