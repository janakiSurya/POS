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 Items" sheetId="1" state="visible" r:id="rId3"/>
    <sheet name="Summary" sheetId="2" state="visible" r:id="rId4"/>
  </sheets>
  <definedNames>
    <definedName function="false" hidden="true" localSheetId="0" name="_xlnm._FilterDatabase" vbProcedure="false">'Line Items'!$A$4:$S$46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<sst xmlns="http://schemas.openxmlformats.org/spreadsheetml/2006/main" count="286" uniqueCount="198">
  <si>
    <t xml:space="preserve">KUMAR AUTOSTORES  —  Tax Invoice (Credit) No. A002303  —  Dated 20/08/2026</t>
  </si>
  <si>
    <t xml:space="preserve">Buyer: M/s SRI SRI SATYA SAI AUTMOBILE AG, Tadepalligudem 534101  |  Blue text = value printed on the invoice  |  Black text = calculated by formula</t>
  </si>
  <si>
    <t xml:space="preserve">S.No</t>
  </si>
  <si>
    <t xml:space="preserve">Brand</t>
  </si>
  <si>
    <t xml:space="preserve">Item Code</t>
  </si>
  <si>
    <t xml:space="preserve">Description</t>
  </si>
  <si>
    <t xml:space="preserve">HSN</t>
  </si>
  <si>
    <t xml:space="preserve">MRP (₹)</t>
  </si>
  <si>
    <t xml:space="preserve">Disc 1</t>
  </si>
  <si>
    <t xml:space="preserve">Disc 2</t>
  </si>
  <si>
    <t xml:space="preserve">Net Rate (₹) printed</t>
  </si>
  <si>
    <t xml:space="preserve">Net Rate (₹) exact</t>
  </si>
  <si>
    <t xml:space="preserve">Qty</t>
  </si>
  <si>
    <t xml:space="preserve">Line Amt incl. GST (₹)</t>
  </si>
  <si>
    <t xml:space="preserve">GST %</t>
  </si>
  <si>
    <t xml:space="preserve">Taxable Value (₹) printed</t>
  </si>
  <si>
    <t xml:space="preserve">Taxable Value (₹) recalc</t>
  </si>
  <si>
    <t xml:space="preserve">Diff</t>
  </si>
  <si>
    <t xml:space="preserve">GST Amount (₹)</t>
  </si>
  <si>
    <t xml:space="preserve">Line Total (₹)</t>
  </si>
  <si>
    <t xml:space="preserve">Notes</t>
  </si>
  <si>
    <t xml:space="preserve">ACCURAT</t>
  </si>
  <si>
    <t xml:space="preserve">5578</t>
  </si>
  <si>
    <t xml:space="preserve">AC MUDFLAP UNIVERSAL</t>
  </si>
  <si>
    <t xml:space="preserve">87141090</t>
  </si>
  <si>
    <t xml:space="preserve">ASK</t>
  </si>
  <si>
    <t xml:space="preserve">SK-0001</t>
  </si>
  <si>
    <t xml:space="preserve">ACTIVA BRAK SHOWS(WHITE)</t>
  </si>
  <si>
    <t xml:space="preserve">87149400</t>
  </si>
  <si>
    <t xml:space="preserve">S.No obscured by ink blot in scan</t>
  </si>
  <si>
    <t xml:space="preserve">FCC</t>
  </si>
  <si>
    <t xml:space="preserve">FCC-PUL</t>
  </si>
  <si>
    <t xml:space="preserve">PULSAR 150 UG4 CLUCH ASSY FCC</t>
  </si>
  <si>
    <t xml:space="preserve">FCC-PULBS6</t>
  </si>
  <si>
    <t xml:space="preserve">PULSAR 150 BS6 CLUCH ASSY FCC</t>
  </si>
  <si>
    <t xml:space="preserve">FCC PAPER CLUCH</t>
  </si>
  <si>
    <t xml:space="preserve">520FC02502</t>
  </si>
  <si>
    <t xml:space="preserve">CLUTCH PLATS SHINE</t>
  </si>
  <si>
    <t xml:space="preserve">FCC-01B</t>
  </si>
  <si>
    <t xml:space="preserve">CLUTCH PLATS GLAMOR</t>
  </si>
  <si>
    <t xml:space="preserve">FCC-100</t>
  </si>
  <si>
    <t xml:space="preserve">CT-100 CLUTCH PLATS</t>
  </si>
  <si>
    <t xml:space="preserve">FOKAL</t>
  </si>
  <si>
    <t xml:space="preserve">HHTL</t>
  </si>
  <si>
    <t xml:space="preserve">TAIL LIGHT BULB</t>
  </si>
  <si>
    <t xml:space="preserve">85392940</t>
  </si>
  <si>
    <t xml:space="preserve">GABRIEL</t>
  </si>
  <si>
    <t xml:space="preserve">AM-55000908-8</t>
  </si>
  <si>
    <t xml:space="preserve">SPLNDR INNER TUBER</t>
  </si>
  <si>
    <t xml:space="preserve">GEANARAL</t>
  </si>
  <si>
    <t xml:space="preserve">JAS-06</t>
  </si>
  <si>
    <t xml:space="preserve">CYT 40W JAS 6M WARRANTY</t>
  </si>
  <si>
    <t xml:space="preserve">85122010</t>
  </si>
  <si>
    <t xml:space="preserve">H0-1</t>
  </si>
  <si>
    <t xml:space="preserve">HORN CLIPS</t>
  </si>
  <si>
    <t xml:space="preserve">Z-615A</t>
  </si>
  <si>
    <t xml:space="preserve">SAMSON 4 MM WIRE ROLL BLACK</t>
  </si>
  <si>
    <t xml:space="preserve">MINDA</t>
  </si>
  <si>
    <t xml:space="preserve">SW-0659AD</t>
  </si>
  <si>
    <t xml:space="preserve">H L SWITCH UNICORN</t>
  </si>
  <si>
    <t xml:space="preserve">85443000</t>
  </si>
  <si>
    <t xml:space="preserve">MINDA SPARK</t>
  </si>
  <si>
    <t xml:space="preserve">IGN-1101Z</t>
  </si>
  <si>
    <t xml:space="preserve">IGN SWITCH SPLENDOR</t>
  </si>
  <si>
    <t xml:space="preserve">MK</t>
  </si>
  <si>
    <t xml:space="preserve">1203</t>
  </si>
  <si>
    <t xml:space="preserve">SHINE CLUCH PLATES</t>
  </si>
  <si>
    <t xml:space="preserve">NV</t>
  </si>
  <si>
    <t xml:space="preserve">NAJ556</t>
  </si>
  <si>
    <t xml:space="preserve">KICKER ASSY HH SPLENDOR [ECONOMY]</t>
  </si>
  <si>
    <t xml:space="preserve">40169330</t>
  </si>
  <si>
    <t xml:space="preserve">NV STI</t>
  </si>
  <si>
    <t xml:space="preserve">NJA270</t>
  </si>
  <si>
    <t xml:space="preserve">HERO GLAMOUR T7 STI KIT MBK</t>
  </si>
  <si>
    <t xml:space="preserve">NAR616</t>
  </si>
  <si>
    <t xml:space="preserve">PULSAR 150CC 2017 BK STICKER</t>
  </si>
  <si>
    <t xml:space="preserve">SAI</t>
  </si>
  <si>
    <t xml:space="preserve">SAI-267-BP</t>
  </si>
  <si>
    <t xml:space="preserve">FF GLM LST BLK (BP)</t>
  </si>
  <si>
    <t xml:space="preserve">SAI-63-BP</t>
  </si>
  <si>
    <t xml:space="preserve">FF KCC BLK (BP)</t>
  </si>
  <si>
    <t xml:space="preserve">SAI-65-BP</t>
  </si>
  <si>
    <t xml:space="preserve">FF PASSION PLUSPASSION BLK (BP)</t>
  </si>
  <si>
    <t xml:space="preserve">SAI-120-BP</t>
  </si>
  <si>
    <t xml:space="preserve">FF SHINE BLK (BP)</t>
  </si>
  <si>
    <t xml:space="preserve">SAI-880A</t>
  </si>
  <si>
    <t xml:space="preserve">HL VISOR (WG) ACT 125 BS6 BLUE</t>
  </si>
  <si>
    <t xml:space="preserve">SAI-715C</t>
  </si>
  <si>
    <t xml:space="preserve">HL VISOR ACT 6G MATTE GREY</t>
  </si>
  <si>
    <t xml:space="preserve">SAI-175B</t>
  </si>
  <si>
    <t xml:space="preserve">RC ( OF 3) PASSION PLUS NM BLUE</t>
  </si>
  <si>
    <t xml:space="preserve">SAI-423C</t>
  </si>
  <si>
    <t xml:space="preserve">RC ( OF 6) GLM LST NM (TYPE-6) BLK W RED STI</t>
  </si>
  <si>
    <t xml:space="preserve">SAI-314-CG</t>
  </si>
  <si>
    <t xml:space="preserve">SC  (WCHROME GRNSH) CB UNICORN MC BLK</t>
  </si>
  <si>
    <t xml:space="preserve">SAI-07</t>
  </si>
  <si>
    <t xml:space="preserve">SC  CD DAWN OM BLK W RED STI</t>
  </si>
  <si>
    <t xml:space="preserve">SAI-176B</t>
  </si>
  <si>
    <t xml:space="preserve">SC  PASSION PLUS NM BLUE (BLK STK) FOR BLK B…</t>
  </si>
  <si>
    <t xml:space="preserve">Description cut off in scan by HSN column</t>
  </si>
  <si>
    <t xml:space="preserve">SAI-194</t>
  </si>
  <si>
    <t xml:space="preserve">SC  PASSION PRO SPORTS RED FOR BLK BIKE</t>
  </si>
  <si>
    <t xml:space="preserve">SAI-195</t>
  </si>
  <si>
    <t xml:space="preserve">SC  PASSION PRO DIG RED FOR BLK BIKE</t>
  </si>
  <si>
    <t xml:space="preserve">SGI GASKETS</t>
  </si>
  <si>
    <t xml:space="preserve">SH0011605</t>
  </si>
  <si>
    <t xml:space="preserve">SHINE BS6 FULL SET</t>
  </si>
  <si>
    <t xml:space="preserve">84841090</t>
  </si>
  <si>
    <t xml:space="preserve">UM0011105</t>
  </si>
  <si>
    <t xml:space="preserve">UNICORN 160CC HORNET FULL KIT</t>
  </si>
  <si>
    <t xml:space="preserve">SILVERUP</t>
  </si>
  <si>
    <t xml:space="preserve">HH-35012</t>
  </si>
  <si>
    <t xml:space="preserve">GEAR LEVER SPL</t>
  </si>
  <si>
    <t xml:space="preserve">HH-36009</t>
  </si>
  <si>
    <t xml:space="preserve">HALF AXLE GLM</t>
  </si>
  <si>
    <t xml:space="preserve">TV-45013</t>
  </si>
  <si>
    <t xml:space="preserve">KICK PEDAL S-XL 100CC</t>
  </si>
  <si>
    <t xml:space="preserve">BC-53000</t>
  </si>
  <si>
    <t xml:space="preserve">MUDGURD BOLT 99M CHETAK</t>
  </si>
  <si>
    <t xml:space="preserve">BC-54001</t>
  </si>
  <si>
    <t xml:space="preserve">NUMBER PLATE SCREW 99-MODEL</t>
  </si>
  <si>
    <t xml:space="preserve">KB-80040</t>
  </si>
  <si>
    <t xml:space="preserve">SIDE STAND SPRING PLSR</t>
  </si>
  <si>
    <t xml:space="preserve">SLD</t>
  </si>
  <si>
    <t xml:space="preserve">SLD-11</t>
  </si>
  <si>
    <t xml:space="preserve">FUEL TANK LOCK SPLENDOR</t>
  </si>
  <si>
    <t xml:space="preserve">87149990</t>
  </si>
  <si>
    <t xml:space="preserve">VARROC</t>
  </si>
  <si>
    <t xml:space="preserve">3011</t>
  </si>
  <si>
    <t xml:space="preserve">C D I SHAINE KTE 911</t>
  </si>
  <si>
    <t xml:space="preserve">Same code as S.No 42 at a different MRP — billed as two separate lines</t>
  </si>
  <si>
    <t xml:space="preserve">Same code as S.No 41 at a different MRP — billed as two separate lines</t>
  </si>
  <si>
    <t xml:space="preserve">TOTAL</t>
  </si>
  <si>
    <t xml:space="preserve">42 line items across 17 brands</t>
  </si>
  <si>
    <t xml:space="preserve">•  Source: scanned tax invoice A002303 dated 20/08/2026 from Kumar Autostores (3 pages, 42 line items), transcribed by reading each page image at high resolution.</t>
  </si>
  <si>
    <t xml:space="preserve">•  The invoice's 'Unit Rate' is the MRP after Disc 1, and it is GST-inclusive. Taxable Value on the invoice = Unit Rate × Qty ÷ 1.18.</t>
  </si>
  <si>
    <t xml:space="preserve">•  'Net Rate exact' recomputes the rate as MRP × (1−Disc 1) × (1−Disc 2) without rounding. All 106 lines reconcile to the printed Taxable Value to the paisa on this basis.</t>
  </si>
  <si>
    <t xml:space="preserve">•  Two lines print a rate rounded to 2 dp: S.No 37 (2.78 vs exact 2.7775) and S.No 38 (2.81 vs 2.805), both fasteners at qty 200. Their printed Taxable Values are correct; the exact-rate column reproduces them.</t>
  </si>
  <si>
    <t xml:space="preserve">•  The 'Diff' column should read 0.00 on every line. Any non-zero value flags a transcription error to check against the scan.</t>
  </si>
  <si>
    <t xml:space="preserve">•  S.No 41 and 42 are the same item code (3011, C D I SHAINE KTE 911) at different MRPs — 1,258.00 and 1,220.00 — one piece each, billed as two separate lines. Both are kept as printed.</t>
  </si>
  <si>
    <t xml:space="preserve">•  The SILVERUP brand block straddles pages 2 and 3: S.No 34 is on page 2 and S.No 35–39 on page 3, with the Gross 6,408.00 / Net 3,524.40 sub-total printed under S.No 39.</t>
  </si>
  <si>
    <t xml:space="preserve">•  Sum of the printed Taxable Values is 64,032.94 against the invoice's printed Sub Total of 64,033.00 — a 0.06 rounding drift in the supplier's own software, not a transcription error. Total Qty (880) and the Grand Total (75,559.00) both reconcile exactly.</t>
  </si>
  <si>
    <t xml:space="preserve">Invoice Summary</t>
  </si>
  <si>
    <t xml:space="preserve">Supplier</t>
  </si>
  <si>
    <t xml:space="preserve">KUMAR AUTOSTORES</t>
  </si>
  <si>
    <t xml:space="preserve">Supplier address</t>
  </si>
  <si>
    <t xml:space="preserve">4-1-18/1, Keerthi Sadan, G P Road, Vijaya Lakshmi Talkies Back Side, Bhimavaram, West Godavari, Andhra Pradesh</t>
  </si>
  <si>
    <t xml:space="preserve">Supplier GSTIN</t>
  </si>
  <si>
    <t xml:space="preserve">37AITPG4383P1ZB</t>
  </si>
  <si>
    <t xml:space="preserve">Supplier phone / e-mail</t>
  </si>
  <si>
    <t xml:space="preserve">9397111911  |  kumar224632@gmail.com</t>
  </si>
  <si>
    <t xml:space="preserve">Document type</t>
  </si>
  <si>
    <t xml:space="preserve">Tax Invoice — Credit</t>
  </si>
  <si>
    <t xml:space="preserve">Invoice no.</t>
  </si>
  <si>
    <t xml:space="preserve">A002303</t>
  </si>
  <si>
    <t xml:space="preserve">Invoice date</t>
  </si>
  <si>
    <t xml:space="preserve">20/08/2026</t>
  </si>
  <si>
    <t xml:space="preserve">Buyer</t>
  </si>
  <si>
    <t xml:space="preserve">M/s SRI SRI SATYA SAI AUTMOBILE AG</t>
  </si>
  <si>
    <t xml:space="preserve">Buyer address</t>
  </si>
  <si>
    <t xml:space="preserve">Tadepalligudem 2-12-27/1, Railway Station Road, Tadepalligudem – 534101</t>
  </si>
  <si>
    <t xml:space="preserve">Buyer GSTIN</t>
  </si>
  <si>
    <t xml:space="preserve">37CUJPG4763K1Z5</t>
  </si>
  <si>
    <t xml:space="preserve">Buyer phone</t>
  </si>
  <si>
    <t xml:space="preserve">9848725117</t>
  </si>
  <si>
    <t xml:space="preserve">Billed by</t>
  </si>
  <si>
    <t xml:space="preserve">NARAYANA</t>
  </si>
  <si>
    <t xml:space="preserve">W.No &amp; Dt</t>
  </si>
  <si>
    <t xml:space="preserve">Bank</t>
  </si>
  <si>
    <t xml:space="preserve">Bank of Baroda, Bhimavaram — A/c 08360400000167, IFSC BARB0BHIMAV</t>
  </si>
  <si>
    <t xml:space="preserve">Invoice totals</t>
  </si>
  <si>
    <t xml:space="preserve">Calculated</t>
  </si>
  <si>
    <t xml:space="preserve">Printed on invoice</t>
  </si>
  <si>
    <t xml:space="preserve">Basis</t>
  </si>
  <si>
    <t xml:space="preserve">Sub Total (taxable value)</t>
  </si>
  <si>
    <t xml:space="preserve">Sum of printed line taxable values</t>
  </si>
  <si>
    <t xml:space="preserve">SGST @ 9%</t>
  </si>
  <si>
    <t xml:space="preserve">State GST</t>
  </si>
  <si>
    <t xml:space="preserve">CGST @ 9%</t>
  </si>
  <si>
    <t xml:space="preserve">Central GST</t>
  </si>
  <si>
    <t xml:space="preserve">Total GST @ 18%</t>
  </si>
  <si>
    <t xml:space="preserve">SGST + CGST</t>
  </si>
  <si>
    <t xml:space="preserve">Add / Less</t>
  </si>
  <si>
    <t xml:space="preserve">Per invoice</t>
  </si>
  <si>
    <t xml:space="preserve">Round off +/−</t>
  </si>
  <si>
    <t xml:space="preserve">GRAND TOTAL</t>
  </si>
  <si>
    <t xml:space="preserve">Rs. Seventy Five Thousand Five Hundred and Fifty Nine only</t>
  </si>
  <si>
    <t xml:space="preserve">Total Qty</t>
  </si>
  <si>
    <t xml:space="preserve">Brand-wise breakdown</t>
  </si>
  <si>
    <t xml:space="preserve">Lines</t>
  </si>
  <si>
    <t xml:space="preserve">Gross (MRP×Qty)</t>
  </si>
  <si>
    <t xml:space="preserve">Gross printed</t>
  </si>
  <si>
    <t xml:space="preserve">Net (rate×Qty)</t>
  </si>
  <si>
    <t xml:space="preserve">Net printed</t>
  </si>
  <si>
    <t xml:space="preserve">Taxable value</t>
  </si>
  <si>
    <t xml:space="preserve">•  All 17 brand Gross and Net figures reconcile exactly to the sub-total lines printed under each brand block on the invoice.</t>
  </si>
  <si>
    <t xml:space="preserve">•  'Gross printed' and 'Net printed' are the Gross/Net figures typed under each brand block on the invoice. The adjacent calculated columns are formulas over the Line Items sheet.</t>
  </si>
  <si>
    <t xml:space="preserve">•  GST is 18% on every line, so the invoice's single GST class (SGST 9% + CGST 9%) applies throughout.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</si>
</sst>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10" min="9" style="0" width="12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5" min="14" style="0" width="14"/>
    <col collapsed="false" customWidth="true" hidden="false" outlineLevel="0" max="16" min="16" style="0" width="9"/>
    <col collapsed="false" customWidth="true" hidden="false" outlineLevel="0" max="18" min="17" style="0" width="13"/>
    <col collapsed="false" customWidth="true" hidden="false" outlineLevel="0" max="19" min="19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n">
        <v>1</v>
      </c>
      <c r="B5" s="5" t="s">
        <v>21</v>
      </c>
      <c r="C5" s="5" t="s">
        <v>22</v>
      </c>
      <c r="D5" s="5" t="s">
        <v>23</v>
      </c>
      <c r="E5" s="6" t="s">
        <v>24</v>
      </c>
      <c r="F5" s="7" t="n">
        <v>26.4</v>
      </c>
      <c r="G5" s="8" t="n">
        <v>0.45</v>
      </c>
      <c r="H5" s="8" t="n">
        <v>0</v>
      </c>
      <c r="I5" s="7" t="n">
        <v>14.52</v>
      </c>
      <c r="J5" s="9" t="n">
        <f aca="false">F5*(1-G5)*(1-H5)</f>
        <v>14.52</v>
      </c>
      <c r="K5" s="4" t="n">
        <v>50</v>
      </c>
      <c r="L5" s="9" t="n">
        <f aca="false">J5*K5</f>
        <v>726</v>
      </c>
      <c r="M5" s="8" t="n">
        <v>0.18</v>
      </c>
      <c r="N5" s="7" t="n">
        <v>615.25</v>
      </c>
      <c r="O5" s="9" t="n">
        <f aca="false">ROUND(L5/(1+M5),2)</f>
        <v>615.25</v>
      </c>
      <c r="P5" s="9" t="n">
        <f aca="false">O5-N5</f>
        <v>0</v>
      </c>
      <c r="Q5" s="9" t="n">
        <f aca="false">ROUND(N5*M5,2)</f>
        <v>110.75</v>
      </c>
      <c r="R5" s="9" t="n">
        <f aca="false">N5+Q5</f>
        <v>726</v>
      </c>
      <c r="S5" s="10"/>
    </row>
    <row r="6" customFormat="false" ht="15" hidden="false" customHeight="false" outlineLevel="0" collapsed="false">
      <c r="A6" s="11" t="n">
        <v>2</v>
      </c>
      <c r="B6" s="12" t="s">
        <v>25</v>
      </c>
      <c r="C6" s="12" t="s">
        <v>26</v>
      </c>
      <c r="D6" s="12" t="s">
        <v>27</v>
      </c>
      <c r="E6" s="13" t="s">
        <v>28</v>
      </c>
      <c r="F6" s="14" t="n">
        <v>193</v>
      </c>
      <c r="G6" s="15" t="n">
        <v>0.3</v>
      </c>
      <c r="H6" s="15" t="n">
        <v>0</v>
      </c>
      <c r="I6" s="14" t="n">
        <v>135.1</v>
      </c>
      <c r="J6" s="16" t="n">
        <f aca="false">F6*(1-G6)*(1-H6)</f>
        <v>135.1</v>
      </c>
      <c r="K6" s="11" t="n">
        <v>40</v>
      </c>
      <c r="L6" s="16" t="n">
        <f aca="false">J6*K6</f>
        <v>5404</v>
      </c>
      <c r="M6" s="15" t="n">
        <v>0.18</v>
      </c>
      <c r="N6" s="14" t="n">
        <v>4579.66</v>
      </c>
      <c r="O6" s="16" t="n">
        <f aca="false">ROUND(L6/(1+M6),2)</f>
        <v>4579.66</v>
      </c>
      <c r="P6" s="16" t="n">
        <f aca="false">O6-N6</f>
        <v>0</v>
      </c>
      <c r="Q6" s="16" t="n">
        <f aca="false">ROUND(N6*M6,2)</f>
        <v>824.34</v>
      </c>
      <c r="R6" s="16" t="n">
        <f aca="false">N6+Q6</f>
        <v>5404</v>
      </c>
      <c r="S6" s="17" t="s">
        <v>29</v>
      </c>
    </row>
    <row r="7" customFormat="false" ht="15" hidden="false" customHeight="false" outlineLevel="0" collapsed="false">
      <c r="A7" s="11" t="n">
        <v>3</v>
      </c>
      <c r="B7" s="12" t="s">
        <v>30</v>
      </c>
      <c r="C7" s="12" t="s">
        <v>31</v>
      </c>
      <c r="D7" s="12" t="s">
        <v>32</v>
      </c>
      <c r="E7" s="13" t="s">
        <v>24</v>
      </c>
      <c r="F7" s="14" t="n">
        <v>1438</v>
      </c>
      <c r="G7" s="15" t="n">
        <v>0.35</v>
      </c>
      <c r="H7" s="15" t="n">
        <v>0</v>
      </c>
      <c r="I7" s="14" t="n">
        <v>934.7</v>
      </c>
      <c r="J7" s="16" t="n">
        <f aca="false">F7*(1-G7)*(1-H7)</f>
        <v>934.7</v>
      </c>
      <c r="K7" s="11" t="n">
        <v>1</v>
      </c>
      <c r="L7" s="16" t="n">
        <f aca="false">J7*K7</f>
        <v>934.7</v>
      </c>
      <c r="M7" s="15" t="n">
        <v>0.18</v>
      </c>
      <c r="N7" s="14" t="n">
        <v>792.12</v>
      </c>
      <c r="O7" s="16" t="n">
        <f aca="false">ROUND(L7/(1+M7),2)</f>
        <v>792.12</v>
      </c>
      <c r="P7" s="16" t="n">
        <f aca="false">O7-N7</f>
        <v>0</v>
      </c>
      <c r="Q7" s="16" t="n">
        <f aca="false">ROUND(N7*M7,2)</f>
        <v>142.58</v>
      </c>
      <c r="R7" s="16" t="n">
        <f aca="false">N7+Q7</f>
        <v>934.7</v>
      </c>
      <c r="S7" s="17"/>
    </row>
    <row r="8" customFormat="false" ht="15" hidden="false" customHeight="false" outlineLevel="0" collapsed="false">
      <c r="A8" s="4" t="n">
        <v>4</v>
      </c>
      <c r="B8" s="5" t="s">
        <v>30</v>
      </c>
      <c r="C8" s="5" t="s">
        <v>33</v>
      </c>
      <c r="D8" s="5" t="s">
        <v>34</v>
      </c>
      <c r="E8" s="6" t="s">
        <v>24</v>
      </c>
      <c r="F8" s="7" t="n">
        <v>1333</v>
      </c>
      <c r="G8" s="8" t="n">
        <v>0.35</v>
      </c>
      <c r="H8" s="8" t="n">
        <v>0</v>
      </c>
      <c r="I8" s="7" t="n">
        <v>866.45</v>
      </c>
      <c r="J8" s="9" t="n">
        <f aca="false">F8*(1-G8)*(1-H8)</f>
        <v>866.45</v>
      </c>
      <c r="K8" s="4" t="n">
        <v>1</v>
      </c>
      <c r="L8" s="9" t="n">
        <f aca="false">J8*K8</f>
        <v>866.45</v>
      </c>
      <c r="M8" s="8" t="n">
        <v>0.18</v>
      </c>
      <c r="N8" s="7" t="n">
        <v>734.28</v>
      </c>
      <c r="O8" s="9" t="n">
        <f aca="false">ROUND(L8/(1+M8),2)</f>
        <v>734.28</v>
      </c>
      <c r="P8" s="9" t="n">
        <f aca="false">O8-N8</f>
        <v>0</v>
      </c>
      <c r="Q8" s="9" t="n">
        <f aca="false">ROUND(N8*M8,2)</f>
        <v>132.17</v>
      </c>
      <c r="R8" s="9" t="n">
        <f aca="false">N8+Q8</f>
        <v>866.45</v>
      </c>
      <c r="S8" s="10"/>
    </row>
    <row r="9" customFormat="false" ht="15" hidden="false" customHeight="false" outlineLevel="0" collapsed="false">
      <c r="A9" s="11" t="n">
        <v>5</v>
      </c>
      <c r="B9" s="12" t="s">
        <v>35</v>
      </c>
      <c r="C9" s="12" t="s">
        <v>36</v>
      </c>
      <c r="D9" s="12" t="s">
        <v>37</v>
      </c>
      <c r="E9" s="13" t="s">
        <v>24</v>
      </c>
      <c r="F9" s="14" t="n">
        <v>511</v>
      </c>
      <c r="G9" s="15" t="n">
        <v>0.27</v>
      </c>
      <c r="H9" s="15" t="n">
        <v>0</v>
      </c>
      <c r="I9" s="14" t="n">
        <v>373.03</v>
      </c>
      <c r="J9" s="16" t="n">
        <f aca="false">F9*(1-G9)*(1-H9)</f>
        <v>373.03</v>
      </c>
      <c r="K9" s="11" t="n">
        <v>5</v>
      </c>
      <c r="L9" s="16" t="n">
        <f aca="false">J9*K9</f>
        <v>1865.15</v>
      </c>
      <c r="M9" s="15" t="n">
        <v>0.18</v>
      </c>
      <c r="N9" s="14" t="n">
        <v>1580.64</v>
      </c>
      <c r="O9" s="16" t="n">
        <f aca="false">ROUND(L9/(1+M9),2)</f>
        <v>1580.64</v>
      </c>
      <c r="P9" s="16" t="n">
        <f aca="false">O9-N9</f>
        <v>0</v>
      </c>
      <c r="Q9" s="16" t="n">
        <f aca="false">ROUND(N9*M9,2)</f>
        <v>284.52</v>
      </c>
      <c r="R9" s="16" t="n">
        <f aca="false">N9+Q9</f>
        <v>1865.16</v>
      </c>
      <c r="S9" s="17"/>
    </row>
    <row r="10" customFormat="false" ht="15" hidden="false" customHeight="false" outlineLevel="0" collapsed="false">
      <c r="A10" s="4" t="n">
        <v>6</v>
      </c>
      <c r="B10" s="5" t="s">
        <v>35</v>
      </c>
      <c r="C10" s="5" t="s">
        <v>38</v>
      </c>
      <c r="D10" s="5" t="s">
        <v>39</v>
      </c>
      <c r="E10" s="6" t="s">
        <v>24</v>
      </c>
      <c r="F10" s="7" t="n">
        <v>600</v>
      </c>
      <c r="G10" s="8" t="n">
        <v>0.27</v>
      </c>
      <c r="H10" s="8" t="n">
        <v>0</v>
      </c>
      <c r="I10" s="7" t="n">
        <v>438</v>
      </c>
      <c r="J10" s="9" t="n">
        <f aca="false">F10*(1-G10)*(1-H10)</f>
        <v>438</v>
      </c>
      <c r="K10" s="4" t="n">
        <v>6</v>
      </c>
      <c r="L10" s="9" t="n">
        <f aca="false">J10*K10</f>
        <v>2628</v>
      </c>
      <c r="M10" s="8" t="n">
        <v>0.18</v>
      </c>
      <c r="N10" s="7" t="n">
        <v>2227.12</v>
      </c>
      <c r="O10" s="9" t="n">
        <f aca="false">ROUND(L10/(1+M10),2)</f>
        <v>2227.12</v>
      </c>
      <c r="P10" s="9" t="n">
        <f aca="false">O10-N10</f>
        <v>0</v>
      </c>
      <c r="Q10" s="9" t="n">
        <f aca="false">ROUND(N10*M10,2)</f>
        <v>400.88</v>
      </c>
      <c r="R10" s="9" t="n">
        <f aca="false">N10+Q10</f>
        <v>2628</v>
      </c>
      <c r="S10" s="10"/>
    </row>
    <row r="11" customFormat="false" ht="15" hidden="false" customHeight="false" outlineLevel="0" collapsed="false">
      <c r="A11" s="4" t="n">
        <v>7</v>
      </c>
      <c r="B11" s="5" t="s">
        <v>35</v>
      </c>
      <c r="C11" s="5" t="s">
        <v>40</v>
      </c>
      <c r="D11" s="5" t="s">
        <v>41</v>
      </c>
      <c r="E11" s="6" t="s">
        <v>24</v>
      </c>
      <c r="F11" s="7" t="n">
        <v>250</v>
      </c>
      <c r="G11" s="8" t="n">
        <v>0.27</v>
      </c>
      <c r="H11" s="8" t="n">
        <v>0</v>
      </c>
      <c r="I11" s="7" t="n">
        <v>182.5</v>
      </c>
      <c r="J11" s="9" t="n">
        <f aca="false">F11*(1-G11)*(1-H11)</f>
        <v>182.5</v>
      </c>
      <c r="K11" s="4" t="n">
        <v>3</v>
      </c>
      <c r="L11" s="9" t="n">
        <f aca="false">J11*K11</f>
        <v>547.5</v>
      </c>
      <c r="M11" s="8" t="n">
        <v>0.18</v>
      </c>
      <c r="N11" s="7" t="n">
        <v>463.98</v>
      </c>
      <c r="O11" s="9" t="n">
        <f aca="false">ROUND(L11/(1+M11),2)</f>
        <v>463.98</v>
      </c>
      <c r="P11" s="9" t="n">
        <f aca="false">O11-N11</f>
        <v>0</v>
      </c>
      <c r="Q11" s="9" t="n">
        <f aca="false">ROUND(N11*M11,2)</f>
        <v>83.52</v>
      </c>
      <c r="R11" s="9" t="n">
        <f aca="false">N11+Q11</f>
        <v>547.5</v>
      </c>
      <c r="S11" s="10"/>
    </row>
    <row r="12" customFormat="false" ht="15" hidden="false" customHeight="false" outlineLevel="0" collapsed="false">
      <c r="A12" s="11" t="n">
        <v>8</v>
      </c>
      <c r="B12" s="12" t="s">
        <v>42</v>
      </c>
      <c r="C12" s="12" t="s">
        <v>43</v>
      </c>
      <c r="D12" s="12" t="s">
        <v>44</v>
      </c>
      <c r="E12" s="13" t="s">
        <v>45</v>
      </c>
      <c r="F12" s="14" t="n">
        <v>16</v>
      </c>
      <c r="G12" s="15" t="n">
        <v>0.4</v>
      </c>
      <c r="H12" s="15" t="n">
        <v>0</v>
      </c>
      <c r="I12" s="14" t="n">
        <v>9.6</v>
      </c>
      <c r="J12" s="16" t="n">
        <f aca="false">F12*(1-G12)*(1-H12)</f>
        <v>9.6</v>
      </c>
      <c r="K12" s="11" t="n">
        <v>60</v>
      </c>
      <c r="L12" s="16" t="n">
        <f aca="false">J12*K12</f>
        <v>576</v>
      </c>
      <c r="M12" s="15" t="n">
        <v>0.18</v>
      </c>
      <c r="N12" s="14" t="n">
        <v>488.14</v>
      </c>
      <c r="O12" s="16" t="n">
        <f aca="false">ROUND(L12/(1+M12),2)</f>
        <v>488.14</v>
      </c>
      <c r="P12" s="16" t="n">
        <f aca="false">O12-N12</f>
        <v>0</v>
      </c>
      <c r="Q12" s="16" t="n">
        <f aca="false">ROUND(N12*M12,2)</f>
        <v>87.87</v>
      </c>
      <c r="R12" s="16" t="n">
        <f aca="false">N12+Q12</f>
        <v>576.01</v>
      </c>
      <c r="S12" s="17"/>
    </row>
    <row r="13" customFormat="false" ht="15" hidden="false" customHeight="false" outlineLevel="0" collapsed="false">
      <c r="A13" s="11" t="n">
        <v>9</v>
      </c>
      <c r="B13" s="12" t="s">
        <v>46</v>
      </c>
      <c r="C13" s="12" t="s">
        <v>47</v>
      </c>
      <c r="D13" s="12" t="s">
        <v>48</v>
      </c>
      <c r="E13" s="13" t="s">
        <v>24</v>
      </c>
      <c r="F13" s="14" t="n">
        <v>628</v>
      </c>
      <c r="G13" s="15" t="n">
        <v>0.25</v>
      </c>
      <c r="H13" s="15" t="n">
        <v>0</v>
      </c>
      <c r="I13" s="14" t="n">
        <v>471</v>
      </c>
      <c r="J13" s="16" t="n">
        <f aca="false">F13*(1-G13)*(1-H13)</f>
        <v>471</v>
      </c>
      <c r="K13" s="11" t="n">
        <v>8</v>
      </c>
      <c r="L13" s="16" t="n">
        <f aca="false">J13*K13</f>
        <v>3768</v>
      </c>
      <c r="M13" s="15" t="n">
        <v>0.18</v>
      </c>
      <c r="N13" s="14" t="n">
        <v>3193.22</v>
      </c>
      <c r="O13" s="16" t="n">
        <f aca="false">ROUND(L13/(1+M13),2)</f>
        <v>3193.22</v>
      </c>
      <c r="P13" s="16" t="n">
        <f aca="false">O13-N13</f>
        <v>0</v>
      </c>
      <c r="Q13" s="16" t="n">
        <f aca="false">ROUND(N13*M13,2)</f>
        <v>574.78</v>
      </c>
      <c r="R13" s="16" t="n">
        <f aca="false">N13+Q13</f>
        <v>3768</v>
      </c>
      <c r="S13" s="17"/>
    </row>
    <row r="14" customFormat="false" ht="15" hidden="false" customHeight="false" outlineLevel="0" collapsed="false">
      <c r="A14" s="11" t="n">
        <v>10</v>
      </c>
      <c r="B14" s="12" t="s">
        <v>49</v>
      </c>
      <c r="C14" s="12" t="s">
        <v>50</v>
      </c>
      <c r="D14" s="12" t="s">
        <v>51</v>
      </c>
      <c r="E14" s="13" t="s">
        <v>52</v>
      </c>
      <c r="F14" s="14" t="n">
        <v>400</v>
      </c>
      <c r="G14" s="15" t="n">
        <v>0</v>
      </c>
      <c r="H14" s="15" t="n">
        <v>0</v>
      </c>
      <c r="I14" s="14" t="n">
        <v>400</v>
      </c>
      <c r="J14" s="16" t="n">
        <f aca="false">F14*(1-G14)*(1-H14)</f>
        <v>400</v>
      </c>
      <c r="K14" s="11" t="n">
        <v>50</v>
      </c>
      <c r="L14" s="16" t="n">
        <f aca="false">J14*K14</f>
        <v>20000</v>
      </c>
      <c r="M14" s="15" t="n">
        <v>0.18</v>
      </c>
      <c r="N14" s="14" t="n">
        <v>16949.15</v>
      </c>
      <c r="O14" s="16" t="n">
        <f aca="false">ROUND(L14/(1+M14),2)</f>
        <v>16949.15</v>
      </c>
      <c r="P14" s="16" t="n">
        <f aca="false">O14-N14</f>
        <v>0</v>
      </c>
      <c r="Q14" s="16" t="n">
        <f aca="false">ROUND(N14*M14,2)</f>
        <v>3050.85</v>
      </c>
      <c r="R14" s="16" t="n">
        <f aca="false">N14+Q14</f>
        <v>20000</v>
      </c>
      <c r="S14" s="17"/>
    </row>
    <row r="15" customFormat="false" ht="15" hidden="false" customHeight="false" outlineLevel="0" collapsed="false">
      <c r="A15" s="4" t="n">
        <v>11</v>
      </c>
      <c r="B15" s="5" t="s">
        <v>49</v>
      </c>
      <c r="C15" s="5" t="s">
        <v>53</v>
      </c>
      <c r="D15" s="5" t="s">
        <v>54</v>
      </c>
      <c r="E15" s="6" t="s">
        <v>52</v>
      </c>
      <c r="F15" s="7" t="n">
        <v>1.6</v>
      </c>
      <c r="G15" s="8" t="n">
        <v>0</v>
      </c>
      <c r="H15" s="8" t="n">
        <v>0</v>
      </c>
      <c r="I15" s="7" t="n">
        <v>1.6</v>
      </c>
      <c r="J15" s="9" t="n">
        <f aca="false">F15*(1-G15)*(1-H15)</f>
        <v>1.6</v>
      </c>
      <c r="K15" s="4" t="n">
        <v>100</v>
      </c>
      <c r="L15" s="9" t="n">
        <f aca="false">J15*K15</f>
        <v>160</v>
      </c>
      <c r="M15" s="8" t="n">
        <v>0.18</v>
      </c>
      <c r="N15" s="7" t="n">
        <v>135.59</v>
      </c>
      <c r="O15" s="9" t="n">
        <f aca="false">ROUND(L15/(1+M15),2)</f>
        <v>135.59</v>
      </c>
      <c r="P15" s="9" t="n">
        <f aca="false">O15-N15</f>
        <v>0</v>
      </c>
      <c r="Q15" s="9" t="n">
        <f aca="false">ROUND(N15*M15,2)</f>
        <v>24.41</v>
      </c>
      <c r="R15" s="9" t="n">
        <f aca="false">N15+Q15</f>
        <v>160</v>
      </c>
      <c r="S15" s="10"/>
    </row>
    <row r="16" customFormat="false" ht="15" hidden="false" customHeight="false" outlineLevel="0" collapsed="false">
      <c r="A16" s="4" t="n">
        <v>12</v>
      </c>
      <c r="B16" s="5" t="s">
        <v>49</v>
      </c>
      <c r="C16" s="5" t="s">
        <v>55</v>
      </c>
      <c r="D16" s="5" t="s">
        <v>56</v>
      </c>
      <c r="E16" s="6" t="s">
        <v>52</v>
      </c>
      <c r="F16" s="7" t="n">
        <v>185</v>
      </c>
      <c r="G16" s="8" t="n">
        <v>0</v>
      </c>
      <c r="H16" s="8" t="n">
        <v>0</v>
      </c>
      <c r="I16" s="7" t="n">
        <v>185</v>
      </c>
      <c r="J16" s="9" t="n">
        <f aca="false">F16*(1-G16)*(1-H16)</f>
        <v>185</v>
      </c>
      <c r="K16" s="4" t="n">
        <v>3</v>
      </c>
      <c r="L16" s="9" t="n">
        <f aca="false">J16*K16</f>
        <v>555</v>
      </c>
      <c r="M16" s="8" t="n">
        <v>0.18</v>
      </c>
      <c r="N16" s="7" t="n">
        <v>470.34</v>
      </c>
      <c r="O16" s="9" t="n">
        <f aca="false">ROUND(L16/(1+M16),2)</f>
        <v>470.34</v>
      </c>
      <c r="P16" s="9" t="n">
        <f aca="false">O16-N16</f>
        <v>0</v>
      </c>
      <c r="Q16" s="9" t="n">
        <f aca="false">ROUND(N16*M16,2)</f>
        <v>84.66</v>
      </c>
      <c r="R16" s="9" t="n">
        <f aca="false">N16+Q16</f>
        <v>555</v>
      </c>
      <c r="S16" s="10"/>
    </row>
    <row r="17" customFormat="false" ht="15" hidden="false" customHeight="false" outlineLevel="0" collapsed="false">
      <c r="A17" s="11" t="n">
        <v>13</v>
      </c>
      <c r="B17" s="12" t="s">
        <v>57</v>
      </c>
      <c r="C17" s="12" t="s">
        <v>58</v>
      </c>
      <c r="D17" s="12" t="s">
        <v>59</v>
      </c>
      <c r="E17" s="13" t="s">
        <v>60</v>
      </c>
      <c r="F17" s="14" t="n">
        <v>554</v>
      </c>
      <c r="G17" s="15" t="n">
        <v>0.28</v>
      </c>
      <c r="H17" s="15" t="n">
        <v>0</v>
      </c>
      <c r="I17" s="14" t="n">
        <v>398.88</v>
      </c>
      <c r="J17" s="16" t="n">
        <f aca="false">F17*(1-G17)*(1-H17)</f>
        <v>398.88</v>
      </c>
      <c r="K17" s="11" t="n">
        <v>3</v>
      </c>
      <c r="L17" s="16" t="n">
        <f aca="false">J17*K17</f>
        <v>1196.64</v>
      </c>
      <c r="M17" s="15" t="n">
        <v>0.18</v>
      </c>
      <c r="N17" s="14" t="n">
        <v>1014.1</v>
      </c>
      <c r="O17" s="16" t="n">
        <f aca="false">ROUND(L17/(1+M17),2)</f>
        <v>1014.1</v>
      </c>
      <c r="P17" s="16" t="n">
        <f aca="false">O17-N17</f>
        <v>0</v>
      </c>
      <c r="Q17" s="16" t="n">
        <f aca="false">ROUND(N17*M17,2)</f>
        <v>182.54</v>
      </c>
      <c r="R17" s="16" t="n">
        <f aca="false">N17+Q17</f>
        <v>1196.64</v>
      </c>
      <c r="S17" s="17" t="s">
        <v>29</v>
      </c>
    </row>
    <row r="18" customFormat="false" ht="15" hidden="false" customHeight="false" outlineLevel="0" collapsed="false">
      <c r="A18" s="11" t="n">
        <v>14</v>
      </c>
      <c r="B18" s="12" t="s">
        <v>61</v>
      </c>
      <c r="C18" s="12" t="s">
        <v>62</v>
      </c>
      <c r="D18" s="12" t="s">
        <v>63</v>
      </c>
      <c r="E18" s="13" t="s">
        <v>60</v>
      </c>
      <c r="F18" s="14" t="n">
        <v>426</v>
      </c>
      <c r="G18" s="15" t="n">
        <v>0.28</v>
      </c>
      <c r="H18" s="15" t="n">
        <v>0</v>
      </c>
      <c r="I18" s="14" t="n">
        <v>306.72</v>
      </c>
      <c r="J18" s="16" t="n">
        <f aca="false">F18*(1-G18)*(1-H18)</f>
        <v>306.72</v>
      </c>
      <c r="K18" s="11" t="n">
        <v>4</v>
      </c>
      <c r="L18" s="16" t="n">
        <f aca="false">J18*K18</f>
        <v>1226.88</v>
      </c>
      <c r="M18" s="15" t="n">
        <v>0.18</v>
      </c>
      <c r="N18" s="14" t="n">
        <v>1039.73</v>
      </c>
      <c r="O18" s="16" t="n">
        <f aca="false">ROUND(L18/(1+M18),2)</f>
        <v>1039.73</v>
      </c>
      <c r="P18" s="16" t="n">
        <f aca="false">O18-N18</f>
        <v>0</v>
      </c>
      <c r="Q18" s="16" t="n">
        <f aca="false">ROUND(N18*M18,2)</f>
        <v>187.15</v>
      </c>
      <c r="R18" s="16" t="n">
        <f aca="false">N18+Q18</f>
        <v>1226.88</v>
      </c>
      <c r="S18" s="17"/>
    </row>
    <row r="19" customFormat="false" ht="15" hidden="false" customHeight="false" outlineLevel="0" collapsed="false">
      <c r="A19" s="11" t="n">
        <v>15</v>
      </c>
      <c r="B19" s="12" t="s">
        <v>64</v>
      </c>
      <c r="C19" s="12" t="s">
        <v>65</v>
      </c>
      <c r="D19" s="12" t="s">
        <v>66</v>
      </c>
      <c r="E19" s="13" t="s">
        <v>24</v>
      </c>
      <c r="F19" s="14" t="n">
        <v>257</v>
      </c>
      <c r="G19" s="15" t="n">
        <v>0.5</v>
      </c>
      <c r="H19" s="15" t="n">
        <v>0</v>
      </c>
      <c r="I19" s="14" t="n">
        <v>128.5</v>
      </c>
      <c r="J19" s="16" t="n">
        <f aca="false">F19*(1-G19)*(1-H19)</f>
        <v>128.5</v>
      </c>
      <c r="K19" s="11" t="n">
        <v>2</v>
      </c>
      <c r="L19" s="16" t="n">
        <f aca="false">J19*K19</f>
        <v>257</v>
      </c>
      <c r="M19" s="15" t="n">
        <v>0.18</v>
      </c>
      <c r="N19" s="14" t="n">
        <v>217.8</v>
      </c>
      <c r="O19" s="16" t="n">
        <f aca="false">ROUND(L19/(1+M19),2)</f>
        <v>217.8</v>
      </c>
      <c r="P19" s="16" t="n">
        <f aca="false">O19-N19</f>
        <v>0</v>
      </c>
      <c r="Q19" s="16" t="n">
        <f aca="false">ROUND(N19*M19,2)</f>
        <v>39.2</v>
      </c>
      <c r="R19" s="16" t="n">
        <f aca="false">N19+Q19</f>
        <v>257</v>
      </c>
      <c r="S19" s="17"/>
    </row>
    <row r="20" customFormat="false" ht="15" hidden="false" customHeight="false" outlineLevel="0" collapsed="false">
      <c r="A20" s="11" t="n">
        <v>16</v>
      </c>
      <c r="B20" s="12" t="s">
        <v>67</v>
      </c>
      <c r="C20" s="12" t="s">
        <v>68</v>
      </c>
      <c r="D20" s="12" t="s">
        <v>69</v>
      </c>
      <c r="E20" s="13" t="s">
        <v>70</v>
      </c>
      <c r="F20" s="14" t="n">
        <v>350</v>
      </c>
      <c r="G20" s="15" t="n">
        <v>0.43</v>
      </c>
      <c r="H20" s="15" t="n">
        <v>0</v>
      </c>
      <c r="I20" s="14" t="n">
        <v>199.5</v>
      </c>
      <c r="J20" s="16" t="n">
        <f aca="false">F20*(1-G20)*(1-H20)</f>
        <v>199.5</v>
      </c>
      <c r="K20" s="11" t="n">
        <v>5</v>
      </c>
      <c r="L20" s="16" t="n">
        <f aca="false">J20*K20</f>
        <v>997.5</v>
      </c>
      <c r="M20" s="15" t="n">
        <v>0.18</v>
      </c>
      <c r="N20" s="14" t="n">
        <v>845.34</v>
      </c>
      <c r="O20" s="16" t="n">
        <f aca="false">ROUND(L20/(1+M20),2)</f>
        <v>845.34</v>
      </c>
      <c r="P20" s="16" t="n">
        <f aca="false">O20-N20</f>
        <v>0</v>
      </c>
      <c r="Q20" s="16" t="n">
        <f aca="false">ROUND(N20*M20,2)</f>
        <v>152.16</v>
      </c>
      <c r="R20" s="16" t="n">
        <f aca="false">N20+Q20</f>
        <v>997.5</v>
      </c>
      <c r="S20" s="17" t="s">
        <v>29</v>
      </c>
    </row>
    <row r="21" customFormat="false" ht="15" hidden="false" customHeight="false" outlineLevel="0" collapsed="false">
      <c r="A21" s="11" t="n">
        <v>17</v>
      </c>
      <c r="B21" s="12" t="s">
        <v>71</v>
      </c>
      <c r="C21" s="12" t="s">
        <v>72</v>
      </c>
      <c r="D21" s="12" t="s">
        <v>73</v>
      </c>
      <c r="E21" s="13" t="s">
        <v>70</v>
      </c>
      <c r="F21" s="14" t="n">
        <v>700</v>
      </c>
      <c r="G21" s="15" t="n">
        <v>0.43</v>
      </c>
      <c r="H21" s="15" t="n">
        <v>0</v>
      </c>
      <c r="I21" s="14" t="n">
        <v>399</v>
      </c>
      <c r="J21" s="16" t="n">
        <f aca="false">F21*(1-G21)*(1-H21)</f>
        <v>399</v>
      </c>
      <c r="K21" s="11" t="n">
        <v>5</v>
      </c>
      <c r="L21" s="16" t="n">
        <f aca="false">J21*K21</f>
        <v>1995</v>
      </c>
      <c r="M21" s="15" t="n">
        <v>0.18</v>
      </c>
      <c r="N21" s="14" t="n">
        <v>1690.68</v>
      </c>
      <c r="O21" s="16" t="n">
        <f aca="false">ROUND(L21/(1+M21),2)</f>
        <v>1690.68</v>
      </c>
      <c r="P21" s="16" t="n">
        <f aca="false">O21-N21</f>
        <v>0</v>
      </c>
      <c r="Q21" s="16" t="n">
        <f aca="false">ROUND(N21*M21,2)</f>
        <v>304.32</v>
      </c>
      <c r="R21" s="16" t="n">
        <f aca="false">N21+Q21</f>
        <v>1995</v>
      </c>
      <c r="S21" s="17"/>
    </row>
    <row r="22" customFormat="false" ht="15" hidden="false" customHeight="false" outlineLevel="0" collapsed="false">
      <c r="A22" s="4" t="n">
        <v>18</v>
      </c>
      <c r="B22" s="5" t="s">
        <v>71</v>
      </c>
      <c r="C22" s="5" t="s">
        <v>74</v>
      </c>
      <c r="D22" s="5" t="s">
        <v>75</v>
      </c>
      <c r="E22" s="6" t="s">
        <v>70</v>
      </c>
      <c r="F22" s="7" t="n">
        <v>900</v>
      </c>
      <c r="G22" s="8" t="n">
        <v>0.43</v>
      </c>
      <c r="H22" s="8" t="n">
        <v>0</v>
      </c>
      <c r="I22" s="7" t="n">
        <v>513</v>
      </c>
      <c r="J22" s="9" t="n">
        <f aca="false">F22*(1-G22)*(1-H22)</f>
        <v>513</v>
      </c>
      <c r="K22" s="4" t="n">
        <v>2</v>
      </c>
      <c r="L22" s="9" t="n">
        <f aca="false">J22*K22</f>
        <v>1026</v>
      </c>
      <c r="M22" s="8" t="n">
        <v>0.18</v>
      </c>
      <c r="N22" s="7" t="n">
        <v>869.49</v>
      </c>
      <c r="O22" s="9" t="n">
        <f aca="false">ROUND(L22/(1+M22),2)</f>
        <v>869.49</v>
      </c>
      <c r="P22" s="9" t="n">
        <f aca="false">O22-N22</f>
        <v>0</v>
      </c>
      <c r="Q22" s="9" t="n">
        <f aca="false">ROUND(N22*M22,2)</f>
        <v>156.51</v>
      </c>
      <c r="R22" s="9" t="n">
        <f aca="false">N22+Q22</f>
        <v>1026</v>
      </c>
      <c r="S22" s="10"/>
    </row>
    <row r="23" customFormat="false" ht="15" hidden="false" customHeight="false" outlineLevel="0" collapsed="false">
      <c r="A23" s="11" t="n">
        <v>19</v>
      </c>
      <c r="B23" s="12" t="s">
        <v>76</v>
      </c>
      <c r="C23" s="12" t="s">
        <v>77</v>
      </c>
      <c r="D23" s="12" t="s">
        <v>78</v>
      </c>
      <c r="E23" s="13" t="s">
        <v>24</v>
      </c>
      <c r="F23" s="14" t="n">
        <v>535</v>
      </c>
      <c r="G23" s="15" t="n">
        <v>0.38</v>
      </c>
      <c r="H23" s="15" t="n">
        <v>0</v>
      </c>
      <c r="I23" s="14" t="n">
        <v>331.7</v>
      </c>
      <c r="J23" s="16" t="n">
        <f aca="false">F23*(1-G23)*(1-H23)</f>
        <v>331.7</v>
      </c>
      <c r="K23" s="11" t="n">
        <v>8</v>
      </c>
      <c r="L23" s="16" t="n">
        <f aca="false">J23*K23</f>
        <v>2653.6</v>
      </c>
      <c r="M23" s="15" t="n">
        <v>0.18</v>
      </c>
      <c r="N23" s="14" t="n">
        <v>2248.81</v>
      </c>
      <c r="O23" s="16" t="n">
        <f aca="false">ROUND(L23/(1+M23),2)</f>
        <v>2248.81</v>
      </c>
      <c r="P23" s="16" t="n">
        <f aca="false">O23-N23</f>
        <v>0</v>
      </c>
      <c r="Q23" s="16" t="n">
        <f aca="false">ROUND(N23*M23,2)</f>
        <v>404.79</v>
      </c>
      <c r="R23" s="16" t="n">
        <f aca="false">N23+Q23</f>
        <v>2653.6</v>
      </c>
      <c r="S23" s="17"/>
    </row>
    <row r="24" customFormat="false" ht="15" hidden="false" customHeight="false" outlineLevel="0" collapsed="false">
      <c r="A24" s="4" t="n">
        <v>20</v>
      </c>
      <c r="B24" s="5" t="s">
        <v>76</v>
      </c>
      <c r="C24" s="5" t="s">
        <v>79</v>
      </c>
      <c r="D24" s="5" t="s">
        <v>80</v>
      </c>
      <c r="E24" s="6" t="s">
        <v>24</v>
      </c>
      <c r="F24" s="7" t="n">
        <v>380</v>
      </c>
      <c r="G24" s="8" t="n">
        <v>0.38</v>
      </c>
      <c r="H24" s="8" t="n">
        <v>0</v>
      </c>
      <c r="I24" s="7" t="n">
        <v>235.6</v>
      </c>
      <c r="J24" s="9" t="n">
        <f aca="false">F24*(1-G24)*(1-H24)</f>
        <v>235.6</v>
      </c>
      <c r="K24" s="4" t="n">
        <v>10</v>
      </c>
      <c r="L24" s="9" t="n">
        <f aca="false">J24*K24</f>
        <v>2356</v>
      </c>
      <c r="M24" s="8" t="n">
        <v>0.18</v>
      </c>
      <c r="N24" s="7" t="n">
        <v>1996.61</v>
      </c>
      <c r="O24" s="9" t="n">
        <f aca="false">ROUND(L24/(1+M24),2)</f>
        <v>1996.61</v>
      </c>
      <c r="P24" s="9" t="n">
        <f aca="false">O24-N24</f>
        <v>0</v>
      </c>
      <c r="Q24" s="9" t="n">
        <f aca="false">ROUND(N24*M24,2)</f>
        <v>359.39</v>
      </c>
      <c r="R24" s="9" t="n">
        <f aca="false">N24+Q24</f>
        <v>2356</v>
      </c>
      <c r="S24" s="10"/>
    </row>
    <row r="25" customFormat="false" ht="15" hidden="false" customHeight="false" outlineLevel="0" collapsed="false">
      <c r="A25" s="4" t="n">
        <v>21</v>
      </c>
      <c r="B25" s="5" t="s">
        <v>76</v>
      </c>
      <c r="C25" s="5" t="s">
        <v>81</v>
      </c>
      <c r="D25" s="5" t="s">
        <v>82</v>
      </c>
      <c r="E25" s="6" t="s">
        <v>24</v>
      </c>
      <c r="F25" s="7" t="n">
        <v>380</v>
      </c>
      <c r="G25" s="8" t="n">
        <v>0.38</v>
      </c>
      <c r="H25" s="8" t="n">
        <v>0</v>
      </c>
      <c r="I25" s="7" t="n">
        <v>235.6</v>
      </c>
      <c r="J25" s="9" t="n">
        <f aca="false">F25*(1-G25)*(1-H25)</f>
        <v>235.6</v>
      </c>
      <c r="K25" s="4" t="n">
        <v>10</v>
      </c>
      <c r="L25" s="9" t="n">
        <f aca="false">J25*K25</f>
        <v>2356</v>
      </c>
      <c r="M25" s="8" t="n">
        <v>0.18</v>
      </c>
      <c r="N25" s="7" t="n">
        <v>1996.61</v>
      </c>
      <c r="O25" s="9" t="n">
        <f aca="false">ROUND(L25/(1+M25),2)</f>
        <v>1996.61</v>
      </c>
      <c r="P25" s="9" t="n">
        <f aca="false">O25-N25</f>
        <v>0</v>
      </c>
      <c r="Q25" s="9" t="n">
        <f aca="false">ROUND(N25*M25,2)</f>
        <v>359.39</v>
      </c>
      <c r="R25" s="9" t="n">
        <f aca="false">N25+Q25</f>
        <v>2356</v>
      </c>
      <c r="S25" s="10"/>
    </row>
    <row r="26" customFormat="false" ht="15" hidden="false" customHeight="false" outlineLevel="0" collapsed="false">
      <c r="A26" s="4" t="n">
        <v>22</v>
      </c>
      <c r="B26" s="5" t="s">
        <v>76</v>
      </c>
      <c r="C26" s="5" t="s">
        <v>83</v>
      </c>
      <c r="D26" s="5" t="s">
        <v>84</v>
      </c>
      <c r="E26" s="6" t="s">
        <v>24</v>
      </c>
      <c r="F26" s="7" t="n">
        <v>470</v>
      </c>
      <c r="G26" s="8" t="n">
        <v>0.38</v>
      </c>
      <c r="H26" s="8" t="n">
        <v>0</v>
      </c>
      <c r="I26" s="7" t="n">
        <v>291.4</v>
      </c>
      <c r="J26" s="9" t="n">
        <f aca="false">F26*(1-G26)*(1-H26)</f>
        <v>291.4</v>
      </c>
      <c r="K26" s="4" t="n">
        <v>20</v>
      </c>
      <c r="L26" s="9" t="n">
        <f aca="false">J26*K26</f>
        <v>5828</v>
      </c>
      <c r="M26" s="8" t="n">
        <v>0.18</v>
      </c>
      <c r="N26" s="7" t="n">
        <v>4938.98</v>
      </c>
      <c r="O26" s="9" t="n">
        <f aca="false">ROUND(L26/(1+M26),2)</f>
        <v>4938.98</v>
      </c>
      <c r="P26" s="9" t="n">
        <f aca="false">O26-N26</f>
        <v>0</v>
      </c>
      <c r="Q26" s="9" t="n">
        <f aca="false">ROUND(N26*M26,2)</f>
        <v>889.02</v>
      </c>
      <c r="R26" s="9" t="n">
        <f aca="false">N26+Q26</f>
        <v>5828</v>
      </c>
      <c r="S26" s="10"/>
    </row>
    <row r="27" customFormat="false" ht="15" hidden="false" customHeight="false" outlineLevel="0" collapsed="false">
      <c r="A27" s="4" t="n">
        <v>23</v>
      </c>
      <c r="B27" s="5" t="s">
        <v>76</v>
      </c>
      <c r="C27" s="5" t="s">
        <v>85</v>
      </c>
      <c r="D27" s="5" t="s">
        <v>86</v>
      </c>
      <c r="E27" s="6" t="s">
        <v>24</v>
      </c>
      <c r="F27" s="7" t="n">
        <v>770</v>
      </c>
      <c r="G27" s="8" t="n">
        <v>0.38</v>
      </c>
      <c r="H27" s="8" t="n">
        <v>0</v>
      </c>
      <c r="I27" s="7" t="n">
        <v>477.4</v>
      </c>
      <c r="J27" s="9" t="n">
        <f aca="false">F27*(1-G27)*(1-H27)</f>
        <v>477.4</v>
      </c>
      <c r="K27" s="4" t="n">
        <v>1</v>
      </c>
      <c r="L27" s="9" t="n">
        <f aca="false">J27*K27</f>
        <v>477.4</v>
      </c>
      <c r="M27" s="8" t="n">
        <v>0.18</v>
      </c>
      <c r="N27" s="7" t="n">
        <v>404.58</v>
      </c>
      <c r="O27" s="9" t="n">
        <f aca="false">ROUND(L27/(1+M27),2)</f>
        <v>404.58</v>
      </c>
      <c r="P27" s="9" t="n">
        <f aca="false">O27-N27</f>
        <v>0</v>
      </c>
      <c r="Q27" s="9" t="n">
        <f aca="false">ROUND(N27*M27,2)</f>
        <v>72.82</v>
      </c>
      <c r="R27" s="9" t="n">
        <f aca="false">N27+Q27</f>
        <v>477.4</v>
      </c>
      <c r="S27" s="10"/>
    </row>
    <row r="28" customFormat="false" ht="15" hidden="false" customHeight="false" outlineLevel="0" collapsed="false">
      <c r="A28" s="4" t="n">
        <v>24</v>
      </c>
      <c r="B28" s="5" t="s">
        <v>76</v>
      </c>
      <c r="C28" s="5" t="s">
        <v>87</v>
      </c>
      <c r="D28" s="5" t="s">
        <v>88</v>
      </c>
      <c r="E28" s="6" t="s">
        <v>24</v>
      </c>
      <c r="F28" s="7" t="n">
        <v>550</v>
      </c>
      <c r="G28" s="8" t="n">
        <v>0.38</v>
      </c>
      <c r="H28" s="8" t="n">
        <v>0</v>
      </c>
      <c r="I28" s="7" t="n">
        <v>341</v>
      </c>
      <c r="J28" s="9" t="n">
        <f aca="false">F28*(1-G28)*(1-H28)</f>
        <v>341</v>
      </c>
      <c r="K28" s="4" t="n">
        <v>5</v>
      </c>
      <c r="L28" s="9" t="n">
        <f aca="false">J28*K28</f>
        <v>1705</v>
      </c>
      <c r="M28" s="8" t="n">
        <v>0.18</v>
      </c>
      <c r="N28" s="7" t="n">
        <v>1444.92</v>
      </c>
      <c r="O28" s="9" t="n">
        <f aca="false">ROUND(L28/(1+M28),2)</f>
        <v>1444.92</v>
      </c>
      <c r="P28" s="9" t="n">
        <f aca="false">O28-N28</f>
        <v>0</v>
      </c>
      <c r="Q28" s="9" t="n">
        <f aca="false">ROUND(N28*M28,2)</f>
        <v>260.09</v>
      </c>
      <c r="R28" s="9" t="n">
        <f aca="false">N28+Q28</f>
        <v>1705.01</v>
      </c>
      <c r="S28" s="10"/>
    </row>
    <row r="29" customFormat="false" ht="15" hidden="false" customHeight="false" outlineLevel="0" collapsed="false">
      <c r="A29" s="4" t="n">
        <v>25</v>
      </c>
      <c r="B29" s="5" t="s">
        <v>76</v>
      </c>
      <c r="C29" s="5" t="s">
        <v>89</v>
      </c>
      <c r="D29" s="5" t="s">
        <v>90</v>
      </c>
      <c r="E29" s="6" t="s">
        <v>24</v>
      </c>
      <c r="F29" s="7" t="n">
        <v>795</v>
      </c>
      <c r="G29" s="8" t="n">
        <v>0.38</v>
      </c>
      <c r="H29" s="8" t="n">
        <v>0</v>
      </c>
      <c r="I29" s="7" t="n">
        <v>492.9</v>
      </c>
      <c r="J29" s="9" t="n">
        <f aca="false">F29*(1-G29)*(1-H29)</f>
        <v>492.9</v>
      </c>
      <c r="K29" s="4" t="n">
        <v>3</v>
      </c>
      <c r="L29" s="9" t="n">
        <f aca="false">J29*K29</f>
        <v>1478.7</v>
      </c>
      <c r="M29" s="8" t="n">
        <v>0.18</v>
      </c>
      <c r="N29" s="7" t="n">
        <v>1253.14</v>
      </c>
      <c r="O29" s="9" t="n">
        <f aca="false">ROUND(L29/(1+M29),2)</f>
        <v>1253.14</v>
      </c>
      <c r="P29" s="9" t="n">
        <f aca="false">O29-N29</f>
        <v>0</v>
      </c>
      <c r="Q29" s="9" t="n">
        <f aca="false">ROUND(N29*M29,2)</f>
        <v>225.57</v>
      </c>
      <c r="R29" s="9" t="n">
        <f aca="false">N29+Q29</f>
        <v>1478.71</v>
      </c>
      <c r="S29" s="10"/>
    </row>
    <row r="30" customFormat="false" ht="15" hidden="false" customHeight="false" outlineLevel="0" collapsed="false">
      <c r="A30" s="4" t="n">
        <v>26</v>
      </c>
      <c r="B30" s="5" t="s">
        <v>76</v>
      </c>
      <c r="C30" s="5" t="s">
        <v>91</v>
      </c>
      <c r="D30" s="5" t="s">
        <v>92</v>
      </c>
      <c r="E30" s="6" t="s">
        <v>24</v>
      </c>
      <c r="F30" s="7" t="n">
        <v>1030</v>
      </c>
      <c r="G30" s="8" t="n">
        <v>0.38</v>
      </c>
      <c r="H30" s="8" t="n">
        <v>0</v>
      </c>
      <c r="I30" s="7" t="n">
        <v>638.6</v>
      </c>
      <c r="J30" s="9" t="n">
        <f aca="false">F30*(1-G30)*(1-H30)</f>
        <v>638.6</v>
      </c>
      <c r="K30" s="4" t="n">
        <v>2</v>
      </c>
      <c r="L30" s="9" t="n">
        <f aca="false">J30*K30</f>
        <v>1277.2</v>
      </c>
      <c r="M30" s="8" t="n">
        <v>0.18</v>
      </c>
      <c r="N30" s="7" t="n">
        <v>1082.37</v>
      </c>
      <c r="O30" s="9" t="n">
        <f aca="false">ROUND(L30/(1+M30),2)</f>
        <v>1082.37</v>
      </c>
      <c r="P30" s="9" t="n">
        <f aca="false">O30-N30</f>
        <v>0</v>
      </c>
      <c r="Q30" s="9" t="n">
        <f aca="false">ROUND(N30*M30,2)</f>
        <v>194.83</v>
      </c>
      <c r="R30" s="9" t="n">
        <f aca="false">N30+Q30</f>
        <v>1277.2</v>
      </c>
      <c r="S30" s="10"/>
    </row>
    <row r="31" customFormat="false" ht="15" hidden="false" customHeight="false" outlineLevel="0" collapsed="false">
      <c r="A31" s="4" t="n">
        <v>27</v>
      </c>
      <c r="B31" s="5" t="s">
        <v>76</v>
      </c>
      <c r="C31" s="5" t="s">
        <v>93</v>
      </c>
      <c r="D31" s="5" t="s">
        <v>94</v>
      </c>
      <c r="E31" s="6" t="s">
        <v>24</v>
      </c>
      <c r="F31" s="7" t="n">
        <v>940</v>
      </c>
      <c r="G31" s="8" t="n">
        <v>0.38</v>
      </c>
      <c r="H31" s="8" t="n">
        <v>0</v>
      </c>
      <c r="I31" s="7" t="n">
        <v>582.8</v>
      </c>
      <c r="J31" s="9" t="n">
        <f aca="false">F31*(1-G31)*(1-H31)</f>
        <v>582.8</v>
      </c>
      <c r="K31" s="4" t="n">
        <v>2</v>
      </c>
      <c r="L31" s="9" t="n">
        <f aca="false">J31*K31</f>
        <v>1165.6</v>
      </c>
      <c r="M31" s="8" t="n">
        <v>0.18</v>
      </c>
      <c r="N31" s="7" t="n">
        <v>987.8</v>
      </c>
      <c r="O31" s="9" t="n">
        <f aca="false">ROUND(L31/(1+M31),2)</f>
        <v>987.8</v>
      </c>
      <c r="P31" s="9" t="n">
        <f aca="false">O31-N31</f>
        <v>0</v>
      </c>
      <c r="Q31" s="9" t="n">
        <f aca="false">ROUND(N31*M31,2)</f>
        <v>177.8</v>
      </c>
      <c r="R31" s="9" t="n">
        <f aca="false">N31+Q31</f>
        <v>1165.6</v>
      </c>
      <c r="S31" s="10"/>
    </row>
    <row r="32" customFormat="false" ht="15" hidden="false" customHeight="false" outlineLevel="0" collapsed="false">
      <c r="A32" s="4" t="n">
        <v>28</v>
      </c>
      <c r="B32" s="5" t="s">
        <v>76</v>
      </c>
      <c r="C32" s="5" t="s">
        <v>95</v>
      </c>
      <c r="D32" s="5" t="s">
        <v>96</v>
      </c>
      <c r="E32" s="6" t="s">
        <v>24</v>
      </c>
      <c r="F32" s="7" t="n">
        <v>595</v>
      </c>
      <c r="G32" s="8" t="n">
        <v>0.38</v>
      </c>
      <c r="H32" s="8" t="n">
        <v>0</v>
      </c>
      <c r="I32" s="7" t="n">
        <v>368.9</v>
      </c>
      <c r="J32" s="9" t="n">
        <f aca="false">F32*(1-G32)*(1-H32)</f>
        <v>368.9</v>
      </c>
      <c r="K32" s="4" t="n">
        <v>2</v>
      </c>
      <c r="L32" s="9" t="n">
        <f aca="false">J32*K32</f>
        <v>737.8</v>
      </c>
      <c r="M32" s="8" t="n">
        <v>0.18</v>
      </c>
      <c r="N32" s="7" t="n">
        <v>625.25</v>
      </c>
      <c r="O32" s="9" t="n">
        <f aca="false">ROUND(L32/(1+M32),2)</f>
        <v>625.25</v>
      </c>
      <c r="P32" s="9" t="n">
        <f aca="false">O32-N32</f>
        <v>0</v>
      </c>
      <c r="Q32" s="9" t="n">
        <f aca="false">ROUND(N32*M32,2)</f>
        <v>112.55</v>
      </c>
      <c r="R32" s="9" t="n">
        <f aca="false">N32+Q32</f>
        <v>737.8</v>
      </c>
      <c r="S32" s="10"/>
    </row>
    <row r="33" customFormat="false" ht="15" hidden="false" customHeight="false" outlineLevel="0" collapsed="false">
      <c r="A33" s="4" t="n">
        <v>29</v>
      </c>
      <c r="B33" s="5" t="s">
        <v>76</v>
      </c>
      <c r="C33" s="5" t="s">
        <v>97</v>
      </c>
      <c r="D33" s="5" t="s">
        <v>98</v>
      </c>
      <c r="E33" s="6" t="s">
        <v>24</v>
      </c>
      <c r="F33" s="7" t="n">
        <v>755</v>
      </c>
      <c r="G33" s="8" t="n">
        <v>0.38</v>
      </c>
      <c r="H33" s="8" t="n">
        <v>0</v>
      </c>
      <c r="I33" s="7" t="n">
        <v>468.1</v>
      </c>
      <c r="J33" s="9" t="n">
        <f aca="false">F33*(1-G33)*(1-H33)</f>
        <v>468.1</v>
      </c>
      <c r="K33" s="4" t="n">
        <v>3</v>
      </c>
      <c r="L33" s="9" t="n">
        <f aca="false">J33*K33</f>
        <v>1404.3</v>
      </c>
      <c r="M33" s="8" t="n">
        <v>0.18</v>
      </c>
      <c r="N33" s="7" t="n">
        <v>1190.08</v>
      </c>
      <c r="O33" s="9" t="n">
        <f aca="false">ROUND(L33/(1+M33),2)</f>
        <v>1190.08</v>
      </c>
      <c r="P33" s="9" t="n">
        <f aca="false">O33-N33</f>
        <v>0</v>
      </c>
      <c r="Q33" s="9" t="n">
        <f aca="false">ROUND(N33*M33,2)</f>
        <v>214.21</v>
      </c>
      <c r="R33" s="9" t="n">
        <f aca="false">N33+Q33</f>
        <v>1404.29</v>
      </c>
      <c r="S33" s="10" t="s">
        <v>99</v>
      </c>
    </row>
    <row r="34" customFormat="false" ht="15" hidden="false" customHeight="false" outlineLevel="0" collapsed="false">
      <c r="A34" s="4" t="n">
        <v>30</v>
      </c>
      <c r="B34" s="5" t="s">
        <v>76</v>
      </c>
      <c r="C34" s="5" t="s">
        <v>100</v>
      </c>
      <c r="D34" s="5" t="s">
        <v>101</v>
      </c>
      <c r="E34" s="6" t="s">
        <v>24</v>
      </c>
      <c r="F34" s="7" t="n">
        <v>775</v>
      </c>
      <c r="G34" s="8" t="n">
        <v>0.38</v>
      </c>
      <c r="H34" s="8" t="n">
        <v>0</v>
      </c>
      <c r="I34" s="7" t="n">
        <v>480.5</v>
      </c>
      <c r="J34" s="9" t="n">
        <f aca="false">F34*(1-G34)*(1-H34)</f>
        <v>480.5</v>
      </c>
      <c r="K34" s="4" t="n">
        <v>3</v>
      </c>
      <c r="L34" s="9" t="n">
        <f aca="false">J34*K34</f>
        <v>1441.5</v>
      </c>
      <c r="M34" s="8" t="n">
        <v>0.18</v>
      </c>
      <c r="N34" s="7" t="n">
        <v>1221.61</v>
      </c>
      <c r="O34" s="9" t="n">
        <f aca="false">ROUND(L34/(1+M34),2)</f>
        <v>1221.61</v>
      </c>
      <c r="P34" s="9" t="n">
        <f aca="false">O34-N34</f>
        <v>0</v>
      </c>
      <c r="Q34" s="9" t="n">
        <f aca="false">ROUND(N34*M34,2)</f>
        <v>219.89</v>
      </c>
      <c r="R34" s="9" t="n">
        <f aca="false">N34+Q34</f>
        <v>1441.5</v>
      </c>
      <c r="S34" s="10"/>
    </row>
    <row r="35" customFormat="false" ht="15" hidden="false" customHeight="false" outlineLevel="0" collapsed="false">
      <c r="A35" s="4" t="n">
        <v>31</v>
      </c>
      <c r="B35" s="5" t="s">
        <v>76</v>
      </c>
      <c r="C35" s="5" t="s">
        <v>102</v>
      </c>
      <c r="D35" s="5" t="s">
        <v>103</v>
      </c>
      <c r="E35" s="6" t="s">
        <v>24</v>
      </c>
      <c r="F35" s="7" t="n">
        <v>730</v>
      </c>
      <c r="G35" s="8" t="n">
        <v>0.38</v>
      </c>
      <c r="H35" s="8" t="n">
        <v>0</v>
      </c>
      <c r="I35" s="7" t="n">
        <v>452.6</v>
      </c>
      <c r="J35" s="9" t="n">
        <f aca="false">F35*(1-G35)*(1-H35)</f>
        <v>452.6</v>
      </c>
      <c r="K35" s="4" t="n">
        <v>3</v>
      </c>
      <c r="L35" s="9" t="n">
        <f aca="false">J35*K35</f>
        <v>1357.8</v>
      </c>
      <c r="M35" s="8" t="n">
        <v>0.18</v>
      </c>
      <c r="N35" s="7" t="n">
        <v>1150.68</v>
      </c>
      <c r="O35" s="9" t="n">
        <f aca="false">ROUND(L35/(1+M35),2)</f>
        <v>1150.68</v>
      </c>
      <c r="P35" s="9" t="n">
        <f aca="false">O35-N35</f>
        <v>0</v>
      </c>
      <c r="Q35" s="9" t="n">
        <f aca="false">ROUND(N35*M35,2)</f>
        <v>207.12</v>
      </c>
      <c r="R35" s="9" t="n">
        <f aca="false">N35+Q35</f>
        <v>1357.8</v>
      </c>
      <c r="S35" s="10"/>
    </row>
    <row r="36" customFormat="false" ht="15" hidden="false" customHeight="false" outlineLevel="0" collapsed="false">
      <c r="A36" s="11" t="n">
        <v>32</v>
      </c>
      <c r="B36" s="12" t="s">
        <v>104</v>
      </c>
      <c r="C36" s="12" t="s">
        <v>105</v>
      </c>
      <c r="D36" s="12" t="s">
        <v>106</v>
      </c>
      <c r="E36" s="13" t="s">
        <v>107</v>
      </c>
      <c r="F36" s="14" t="n">
        <v>172</v>
      </c>
      <c r="G36" s="15" t="n">
        <v>0.42</v>
      </c>
      <c r="H36" s="15" t="n">
        <v>0</v>
      </c>
      <c r="I36" s="14" t="n">
        <v>99.76</v>
      </c>
      <c r="J36" s="16" t="n">
        <f aca="false">F36*(1-G36)*(1-H36)</f>
        <v>99.76</v>
      </c>
      <c r="K36" s="11" t="n">
        <v>5</v>
      </c>
      <c r="L36" s="16" t="n">
        <f aca="false">J36*K36</f>
        <v>498.8</v>
      </c>
      <c r="M36" s="15" t="n">
        <v>0.18</v>
      </c>
      <c r="N36" s="14" t="n">
        <v>422.71</v>
      </c>
      <c r="O36" s="16" t="n">
        <f aca="false">ROUND(L36/(1+M36),2)</f>
        <v>422.71</v>
      </c>
      <c r="P36" s="16" t="n">
        <f aca="false">O36-N36</f>
        <v>0</v>
      </c>
      <c r="Q36" s="16" t="n">
        <f aca="false">ROUND(N36*M36,2)</f>
        <v>76.09</v>
      </c>
      <c r="R36" s="16" t="n">
        <f aca="false">N36+Q36</f>
        <v>498.8</v>
      </c>
      <c r="S36" s="17"/>
    </row>
    <row r="37" customFormat="false" ht="15" hidden="false" customHeight="false" outlineLevel="0" collapsed="false">
      <c r="A37" s="4" t="n">
        <v>33</v>
      </c>
      <c r="B37" s="5" t="s">
        <v>104</v>
      </c>
      <c r="C37" s="5" t="s">
        <v>108</v>
      </c>
      <c r="D37" s="5" t="s">
        <v>109</v>
      </c>
      <c r="E37" s="6" t="s">
        <v>107</v>
      </c>
      <c r="F37" s="7" t="n">
        <v>200</v>
      </c>
      <c r="G37" s="8" t="n">
        <v>0.42</v>
      </c>
      <c r="H37" s="8" t="n">
        <v>0</v>
      </c>
      <c r="I37" s="7" t="n">
        <v>116</v>
      </c>
      <c r="J37" s="9" t="n">
        <f aca="false">F37*(1-G37)*(1-H37)</f>
        <v>116</v>
      </c>
      <c r="K37" s="4" t="n">
        <v>5</v>
      </c>
      <c r="L37" s="9" t="n">
        <f aca="false">J37*K37</f>
        <v>580</v>
      </c>
      <c r="M37" s="8" t="n">
        <v>0.18</v>
      </c>
      <c r="N37" s="7" t="n">
        <v>491.53</v>
      </c>
      <c r="O37" s="9" t="n">
        <f aca="false">ROUND(L37/(1+M37),2)</f>
        <v>491.53</v>
      </c>
      <c r="P37" s="9" t="n">
        <f aca="false">O37-N37</f>
        <v>0</v>
      </c>
      <c r="Q37" s="9" t="n">
        <f aca="false">ROUND(N37*M37,2)</f>
        <v>88.48</v>
      </c>
      <c r="R37" s="9" t="n">
        <f aca="false">N37+Q37</f>
        <v>580.01</v>
      </c>
      <c r="S37" s="10"/>
    </row>
    <row r="38" customFormat="false" ht="15" hidden="false" customHeight="false" outlineLevel="0" collapsed="false">
      <c r="A38" s="11" t="n">
        <v>34</v>
      </c>
      <c r="B38" s="12" t="s">
        <v>110</v>
      </c>
      <c r="C38" s="12" t="s">
        <v>111</v>
      </c>
      <c r="D38" s="12" t="s">
        <v>112</v>
      </c>
      <c r="E38" s="13" t="s">
        <v>24</v>
      </c>
      <c r="F38" s="14" t="n">
        <v>185</v>
      </c>
      <c r="G38" s="15" t="n">
        <v>0.45</v>
      </c>
      <c r="H38" s="15" t="n">
        <v>0</v>
      </c>
      <c r="I38" s="14" t="n">
        <v>101.75</v>
      </c>
      <c r="J38" s="16" t="n">
        <f aca="false">F38*(1-G38)*(1-H38)</f>
        <v>101.75</v>
      </c>
      <c r="K38" s="11" t="n">
        <v>10</v>
      </c>
      <c r="L38" s="16" t="n">
        <f aca="false">J38*K38</f>
        <v>1017.5</v>
      </c>
      <c r="M38" s="15" t="n">
        <v>0.18</v>
      </c>
      <c r="N38" s="14" t="n">
        <v>862.29</v>
      </c>
      <c r="O38" s="16" t="n">
        <f aca="false">ROUND(L38/(1+M38),2)</f>
        <v>862.29</v>
      </c>
      <c r="P38" s="16" t="n">
        <f aca="false">O38-N38</f>
        <v>0</v>
      </c>
      <c r="Q38" s="16" t="n">
        <f aca="false">ROUND(N38*M38,2)</f>
        <v>155.21</v>
      </c>
      <c r="R38" s="16" t="n">
        <f aca="false">N38+Q38</f>
        <v>1017.5</v>
      </c>
      <c r="S38" s="17"/>
    </row>
    <row r="39" customFormat="false" ht="15" hidden="false" customHeight="false" outlineLevel="0" collapsed="false">
      <c r="A39" s="4" t="n">
        <v>35</v>
      </c>
      <c r="B39" s="5" t="s">
        <v>110</v>
      </c>
      <c r="C39" s="5" t="s">
        <v>113</v>
      </c>
      <c r="D39" s="5" t="s">
        <v>114</v>
      </c>
      <c r="E39" s="6" t="s">
        <v>24</v>
      </c>
      <c r="F39" s="7" t="n">
        <v>75</v>
      </c>
      <c r="G39" s="8" t="n">
        <v>0.45</v>
      </c>
      <c r="H39" s="8" t="n">
        <v>0</v>
      </c>
      <c r="I39" s="7" t="n">
        <v>41.25</v>
      </c>
      <c r="J39" s="9" t="n">
        <f aca="false">F39*(1-G39)*(1-H39)</f>
        <v>41.25</v>
      </c>
      <c r="K39" s="4" t="n">
        <v>12</v>
      </c>
      <c r="L39" s="9" t="n">
        <f aca="false">J39*K39</f>
        <v>495</v>
      </c>
      <c r="M39" s="8" t="n">
        <v>0.18</v>
      </c>
      <c r="N39" s="7" t="n">
        <v>419.49</v>
      </c>
      <c r="O39" s="9" t="n">
        <f aca="false">ROUND(L39/(1+M39),2)</f>
        <v>419.49</v>
      </c>
      <c r="P39" s="9" t="n">
        <f aca="false">O39-N39</f>
        <v>0</v>
      </c>
      <c r="Q39" s="9" t="n">
        <f aca="false">ROUND(N39*M39,2)</f>
        <v>75.51</v>
      </c>
      <c r="R39" s="9" t="n">
        <f aca="false">N39+Q39</f>
        <v>495</v>
      </c>
      <c r="S39" s="10"/>
    </row>
    <row r="40" customFormat="false" ht="15" hidden="false" customHeight="false" outlineLevel="0" collapsed="false">
      <c r="A40" s="4" t="n">
        <v>36</v>
      </c>
      <c r="B40" s="5" t="s">
        <v>110</v>
      </c>
      <c r="C40" s="5" t="s">
        <v>115</v>
      </c>
      <c r="D40" s="5" t="s">
        <v>116</v>
      </c>
      <c r="E40" s="6" t="s">
        <v>52</v>
      </c>
      <c r="F40" s="7" t="n">
        <v>396</v>
      </c>
      <c r="G40" s="8" t="n">
        <v>0.45</v>
      </c>
      <c r="H40" s="8" t="n">
        <v>0</v>
      </c>
      <c r="I40" s="7" t="n">
        <v>217.8</v>
      </c>
      <c r="J40" s="9" t="n">
        <f aca="false">F40*(1-G40)*(1-H40)</f>
        <v>217.8</v>
      </c>
      <c r="K40" s="4" t="n">
        <v>3</v>
      </c>
      <c r="L40" s="9" t="n">
        <f aca="false">J40*K40</f>
        <v>653.4</v>
      </c>
      <c r="M40" s="8" t="n">
        <v>0.18</v>
      </c>
      <c r="N40" s="7" t="n">
        <v>553.73</v>
      </c>
      <c r="O40" s="9" t="n">
        <f aca="false">ROUND(L40/(1+M40),2)</f>
        <v>553.73</v>
      </c>
      <c r="P40" s="9" t="n">
        <f aca="false">O40-N40</f>
        <v>0</v>
      </c>
      <c r="Q40" s="9" t="n">
        <f aca="false">ROUND(N40*M40,2)</f>
        <v>99.67</v>
      </c>
      <c r="R40" s="9" t="n">
        <f aca="false">N40+Q40</f>
        <v>653.4</v>
      </c>
      <c r="S40" s="10"/>
    </row>
    <row r="41" customFormat="false" ht="15" hidden="false" customHeight="false" outlineLevel="0" collapsed="false">
      <c r="A41" s="4" t="n">
        <v>37</v>
      </c>
      <c r="B41" s="5" t="s">
        <v>110</v>
      </c>
      <c r="C41" s="5" t="s">
        <v>117</v>
      </c>
      <c r="D41" s="5" t="s">
        <v>118</v>
      </c>
      <c r="E41" s="6" t="s">
        <v>52</v>
      </c>
      <c r="F41" s="7" t="n">
        <v>5.05</v>
      </c>
      <c r="G41" s="8" t="n">
        <v>0.45</v>
      </c>
      <c r="H41" s="8" t="n">
        <v>0</v>
      </c>
      <c r="I41" s="7" t="n">
        <v>2.78</v>
      </c>
      <c r="J41" s="9" t="n">
        <f aca="false">F41*(1-G41)*(1-H41)</f>
        <v>2.7775</v>
      </c>
      <c r="K41" s="4" t="n">
        <v>200</v>
      </c>
      <c r="L41" s="9" t="n">
        <f aca="false">J41*K41</f>
        <v>555.5</v>
      </c>
      <c r="M41" s="8" t="n">
        <v>0.18</v>
      </c>
      <c r="N41" s="7" t="n">
        <v>470.76</v>
      </c>
      <c r="O41" s="9" t="n">
        <f aca="false">ROUND(L41/(1+M41),2)</f>
        <v>470.76</v>
      </c>
      <c r="P41" s="9" t="n">
        <f aca="false">O41-N41</f>
        <v>0</v>
      </c>
      <c r="Q41" s="9" t="n">
        <f aca="false">ROUND(N41*M41,2)</f>
        <v>84.74</v>
      </c>
      <c r="R41" s="9" t="n">
        <f aca="false">N41+Q41</f>
        <v>555.5</v>
      </c>
      <c r="S41" s="10"/>
    </row>
    <row r="42" customFormat="false" ht="15" hidden="false" customHeight="false" outlineLevel="0" collapsed="false">
      <c r="A42" s="4" t="n">
        <v>38</v>
      </c>
      <c r="B42" s="5" t="s">
        <v>110</v>
      </c>
      <c r="C42" s="5" t="s">
        <v>119</v>
      </c>
      <c r="D42" s="5" t="s">
        <v>120</v>
      </c>
      <c r="E42" s="6" t="s">
        <v>52</v>
      </c>
      <c r="F42" s="7" t="n">
        <v>5.1</v>
      </c>
      <c r="G42" s="8" t="n">
        <v>0.45</v>
      </c>
      <c r="H42" s="8" t="n">
        <v>0</v>
      </c>
      <c r="I42" s="7" t="n">
        <v>2.81</v>
      </c>
      <c r="J42" s="9" t="n">
        <f aca="false">F42*(1-G42)*(1-H42)</f>
        <v>2.805</v>
      </c>
      <c r="K42" s="4" t="n">
        <v>200</v>
      </c>
      <c r="L42" s="9" t="n">
        <f aca="false">J42*K42</f>
        <v>561</v>
      </c>
      <c r="M42" s="8" t="n">
        <v>0.18</v>
      </c>
      <c r="N42" s="7" t="n">
        <v>475.42</v>
      </c>
      <c r="O42" s="9" t="n">
        <f aca="false">ROUND(L42/(1+M42),2)</f>
        <v>475.42</v>
      </c>
      <c r="P42" s="9" t="n">
        <f aca="false">O42-N42</f>
        <v>0</v>
      </c>
      <c r="Q42" s="9" t="n">
        <f aca="false">ROUND(N42*M42,2)</f>
        <v>85.58</v>
      </c>
      <c r="R42" s="9" t="n">
        <f aca="false">N42+Q42</f>
        <v>561</v>
      </c>
      <c r="S42" s="10" t="s">
        <v>29</v>
      </c>
    </row>
    <row r="43" customFormat="false" ht="15" hidden="false" customHeight="false" outlineLevel="0" collapsed="false">
      <c r="A43" s="4" t="n">
        <v>39</v>
      </c>
      <c r="B43" s="5" t="s">
        <v>110</v>
      </c>
      <c r="C43" s="5" t="s">
        <v>121</v>
      </c>
      <c r="D43" s="5" t="s">
        <v>122</v>
      </c>
      <c r="E43" s="6" t="s">
        <v>52</v>
      </c>
      <c r="F43" s="7" t="n">
        <v>22</v>
      </c>
      <c r="G43" s="8" t="n">
        <v>0.45</v>
      </c>
      <c r="H43" s="8" t="n">
        <v>0</v>
      </c>
      <c r="I43" s="7" t="n">
        <v>12.1</v>
      </c>
      <c r="J43" s="9" t="n">
        <f aca="false">F43*(1-G43)*(1-H43)</f>
        <v>12.1</v>
      </c>
      <c r="K43" s="4" t="n">
        <v>20</v>
      </c>
      <c r="L43" s="9" t="n">
        <f aca="false">J43*K43</f>
        <v>242</v>
      </c>
      <c r="M43" s="8" t="n">
        <v>0.18</v>
      </c>
      <c r="N43" s="7" t="n">
        <v>205.08</v>
      </c>
      <c r="O43" s="9" t="n">
        <f aca="false">ROUND(L43/(1+M43),2)</f>
        <v>205.08</v>
      </c>
      <c r="P43" s="9" t="n">
        <f aca="false">O43-N43</f>
        <v>0</v>
      </c>
      <c r="Q43" s="9" t="n">
        <f aca="false">ROUND(N43*M43,2)</f>
        <v>36.91</v>
      </c>
      <c r="R43" s="9" t="n">
        <f aca="false">N43+Q43</f>
        <v>241.99</v>
      </c>
      <c r="S43" s="10" t="s">
        <v>29</v>
      </c>
    </row>
    <row r="44" customFormat="false" ht="15" hidden="false" customHeight="false" outlineLevel="0" collapsed="false">
      <c r="A44" s="11" t="n">
        <v>40</v>
      </c>
      <c r="B44" s="12" t="s">
        <v>123</v>
      </c>
      <c r="C44" s="12" t="s">
        <v>124</v>
      </c>
      <c r="D44" s="12" t="s">
        <v>125</v>
      </c>
      <c r="E44" s="13" t="s">
        <v>126</v>
      </c>
      <c r="F44" s="14" t="n">
        <v>104</v>
      </c>
      <c r="G44" s="15" t="n">
        <v>0.35</v>
      </c>
      <c r="H44" s="15" t="n">
        <v>0</v>
      </c>
      <c r="I44" s="14" t="n">
        <v>67.6</v>
      </c>
      <c r="J44" s="16" t="n">
        <f aca="false">F44*(1-G44)*(1-H44)</f>
        <v>67.6</v>
      </c>
      <c r="K44" s="11" t="n">
        <v>3</v>
      </c>
      <c r="L44" s="16" t="n">
        <f aca="false">J44*K44</f>
        <v>202.8</v>
      </c>
      <c r="M44" s="15" t="n">
        <v>0.18</v>
      </c>
      <c r="N44" s="14" t="n">
        <v>171.86</v>
      </c>
      <c r="O44" s="16" t="n">
        <f aca="false">ROUND(L44/(1+M44),2)</f>
        <v>171.86</v>
      </c>
      <c r="P44" s="16" t="n">
        <f aca="false">O44-N44</f>
        <v>0</v>
      </c>
      <c r="Q44" s="16" t="n">
        <f aca="false">ROUND(N44*M44,2)</f>
        <v>30.93</v>
      </c>
      <c r="R44" s="16" t="n">
        <f aca="false">N44+Q44</f>
        <v>202.79</v>
      </c>
      <c r="S44" s="17"/>
    </row>
    <row r="45" customFormat="false" ht="22.35" hidden="false" customHeight="false" outlineLevel="0" collapsed="false">
      <c r="A45" s="11" t="n">
        <v>41</v>
      </c>
      <c r="B45" s="12" t="s">
        <v>127</v>
      </c>
      <c r="C45" s="12" t="s">
        <v>128</v>
      </c>
      <c r="D45" s="12" t="s">
        <v>129</v>
      </c>
      <c r="E45" s="13" t="s">
        <v>24</v>
      </c>
      <c r="F45" s="14" t="n">
        <v>1258</v>
      </c>
      <c r="G45" s="15" t="n">
        <v>0.28</v>
      </c>
      <c r="H45" s="15" t="n">
        <v>0</v>
      </c>
      <c r="I45" s="14" t="n">
        <v>905.76</v>
      </c>
      <c r="J45" s="16" t="n">
        <f aca="false">F45*(1-G45)*(1-H45)</f>
        <v>905.76</v>
      </c>
      <c r="K45" s="11" t="n">
        <v>1</v>
      </c>
      <c r="L45" s="16" t="n">
        <f aca="false">J45*K45</f>
        <v>905.76</v>
      </c>
      <c r="M45" s="15" t="n">
        <v>0.18</v>
      </c>
      <c r="N45" s="14" t="n">
        <v>767.59</v>
      </c>
      <c r="O45" s="16" t="n">
        <f aca="false">ROUND(L45/(1+M45),2)</f>
        <v>767.59</v>
      </c>
      <c r="P45" s="16" t="n">
        <f aca="false">O45-N45</f>
        <v>0</v>
      </c>
      <c r="Q45" s="16" t="n">
        <f aca="false">ROUND(N45*M45,2)</f>
        <v>138.17</v>
      </c>
      <c r="R45" s="16" t="n">
        <f aca="false">N45+Q45</f>
        <v>905.76</v>
      </c>
      <c r="S45" s="17" t="s">
        <v>130</v>
      </c>
    </row>
    <row r="46" customFormat="false" ht="22.35" hidden="false" customHeight="false" outlineLevel="0" collapsed="false">
      <c r="A46" s="4" t="n">
        <v>42</v>
      </c>
      <c r="B46" s="5" t="s">
        <v>127</v>
      </c>
      <c r="C46" s="5" t="s">
        <v>128</v>
      </c>
      <c r="D46" s="5" t="s">
        <v>129</v>
      </c>
      <c r="E46" s="6" t="s">
        <v>24</v>
      </c>
      <c r="F46" s="7" t="n">
        <v>1220</v>
      </c>
      <c r="G46" s="8" t="n">
        <v>0.28</v>
      </c>
      <c r="H46" s="8" t="n">
        <v>0</v>
      </c>
      <c r="I46" s="7" t="n">
        <v>878.4</v>
      </c>
      <c r="J46" s="9" t="n">
        <f aca="false">F46*(1-G46)*(1-H46)</f>
        <v>878.4</v>
      </c>
      <c r="K46" s="4" t="n">
        <v>1</v>
      </c>
      <c r="L46" s="9" t="n">
        <f aca="false">J46*K46</f>
        <v>878.4</v>
      </c>
      <c r="M46" s="8" t="n">
        <v>0.18</v>
      </c>
      <c r="N46" s="7" t="n">
        <v>744.41</v>
      </c>
      <c r="O46" s="9" t="n">
        <f aca="false">ROUND(L46/(1+M46),2)</f>
        <v>744.41</v>
      </c>
      <c r="P46" s="9" t="n">
        <f aca="false">O46-N46</f>
        <v>0</v>
      </c>
      <c r="Q46" s="9" t="n">
        <f aca="false">ROUND(N46*M46,2)</f>
        <v>133.99</v>
      </c>
      <c r="R46" s="9" t="n">
        <f aca="false">N46+Q46</f>
        <v>878.4</v>
      </c>
      <c r="S46" s="10" t="s">
        <v>131</v>
      </c>
    </row>
    <row r="47" customFormat="false" ht="15" hidden="false" customHeight="false" outlineLevel="0" collapsed="false">
      <c r="A47" s="18" t="s">
        <v>132</v>
      </c>
      <c r="B47" s="19"/>
      <c r="C47" s="19"/>
      <c r="D47" s="18" t="s">
        <v>133</v>
      </c>
      <c r="E47" s="19"/>
      <c r="F47" s="19"/>
      <c r="G47" s="19"/>
      <c r="H47" s="19"/>
      <c r="I47" s="19"/>
      <c r="J47" s="19"/>
      <c r="K47" s="20" t="n">
        <f aca="false">SUM(K5:K46)</f>
        <v>880</v>
      </c>
      <c r="L47" s="21" t="n">
        <f aca="false">SUM(L5:L46)</f>
        <v>75558.88</v>
      </c>
      <c r="M47" s="19"/>
      <c r="N47" s="21" t="n">
        <f aca="false">SUM(N5:N46)</f>
        <v>64032.94</v>
      </c>
      <c r="O47" s="21" t="n">
        <f aca="false">SUM(O5:O46)</f>
        <v>64032.94</v>
      </c>
      <c r="P47" s="21" t="n">
        <f aca="false">SUM(P5:P46)</f>
        <v>0</v>
      </c>
      <c r="Q47" s="21" t="n">
        <f aca="false">SUM(Q5:Q46)</f>
        <v>11525.96</v>
      </c>
      <c r="R47" s="21" t="n">
        <f aca="false">SUM(R5:R46)</f>
        <v>75558.9</v>
      </c>
      <c r="S47" s="19"/>
    </row>
    <row r="49" customFormat="false" ht="15" hidden="false" customHeight="false" outlineLevel="0" collapsed="false">
      <c r="A49" s="22" t="s">
        <v>20</v>
      </c>
    </row>
    <row r="50" customFormat="false" ht="25.5" hidden="false" customHeight="true" outlineLevel="0" collapsed="false">
      <c r="A50" s="23" t="s">
        <v>134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</row>
    <row r="51" customFormat="false" ht="25.5" hidden="false" customHeight="true" outlineLevel="0" collapsed="false">
      <c r="A51" s="23" t="s">
        <v>135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customFormat="false" ht="25.5" hidden="false" customHeight="true" outlineLevel="0" collapsed="false">
      <c r="A52" s="23" t="s">
        <v>136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</row>
    <row r="53" customFormat="false" ht="25.5" hidden="false" customHeight="true" outlineLevel="0" collapsed="false">
      <c r="A53" s="23" t="s">
        <v>137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</row>
    <row r="54" customFormat="false" ht="25.5" hidden="false" customHeight="true" outlineLevel="0" collapsed="false">
      <c r="A54" s="23" t="s">
        <v>138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</row>
    <row r="55" customFormat="false" ht="25.5" hidden="false" customHeight="true" outlineLevel="0" collapsed="false">
      <c r="A55" s="23" t="s">
        <v>139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customFormat="false" ht="25.5" hidden="false" customHeight="true" outlineLevel="0" collapsed="false">
      <c r="A56" s="23" t="s">
        <v>140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</row>
    <row r="57" customFormat="false" ht="25.5" hidden="false" customHeight="true" outlineLevel="0" collapsed="false">
      <c r="A57" s="23" t="s">
        <v>141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</sheetData>
  <autoFilter ref="A4:S46"/>
  <mergeCells count="8">
    <mergeCell ref="A50:S50"/>
    <mergeCell ref="A51:S51"/>
    <mergeCell ref="A52:S52"/>
    <mergeCell ref="A53:S53"/>
    <mergeCell ref="A54:S54"/>
    <mergeCell ref="A55:S55"/>
    <mergeCell ref="A56:S56"/>
    <mergeCell ref="A57:S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8" min="3" style="0" width="15"/>
  </cols>
  <sheetData>
    <row r="1" customFormat="false" ht="16.15" hidden="false" customHeight="false" outlineLevel="0" collapsed="false">
      <c r="A1" s="1" t="s">
        <v>142</v>
      </c>
    </row>
    <row r="3" customFormat="false" ht="15" hidden="false" customHeight="true" outlineLevel="0" collapsed="false">
      <c r="A3" s="22" t="s">
        <v>143</v>
      </c>
      <c r="B3" s="24" t="s">
        <v>144</v>
      </c>
      <c r="C3" s="24"/>
      <c r="D3" s="24"/>
      <c r="E3" s="24"/>
      <c r="F3" s="24"/>
    </row>
    <row r="4" customFormat="false" ht="23.85" hidden="false" customHeight="true" outlineLevel="0" collapsed="false">
      <c r="A4" s="22" t="s">
        <v>145</v>
      </c>
      <c r="B4" s="24" t="s">
        <v>146</v>
      </c>
      <c r="C4" s="24"/>
      <c r="D4" s="24"/>
      <c r="E4" s="24"/>
      <c r="F4" s="24"/>
    </row>
    <row r="5" customFormat="false" ht="15" hidden="false" customHeight="true" outlineLevel="0" collapsed="false">
      <c r="A5" s="22" t="s">
        <v>147</v>
      </c>
      <c r="B5" s="24" t="s">
        <v>148</v>
      </c>
      <c r="C5" s="24"/>
      <c r="D5" s="24"/>
      <c r="E5" s="24"/>
      <c r="F5" s="24"/>
    </row>
    <row r="6" customFormat="false" ht="15" hidden="false" customHeight="true" outlineLevel="0" collapsed="false">
      <c r="A6" s="22" t="s">
        <v>149</v>
      </c>
      <c r="B6" s="24" t="s">
        <v>150</v>
      </c>
      <c r="C6" s="24"/>
      <c r="D6" s="24"/>
      <c r="E6" s="24"/>
      <c r="F6" s="24"/>
    </row>
    <row r="7" customFormat="false" ht="15" hidden="false" customHeight="true" outlineLevel="0" collapsed="false">
      <c r="A7" s="22" t="s">
        <v>151</v>
      </c>
      <c r="B7" s="24" t="s">
        <v>152</v>
      </c>
      <c r="C7" s="24"/>
      <c r="D7" s="24"/>
      <c r="E7" s="24"/>
      <c r="F7" s="24"/>
    </row>
    <row r="8" customFormat="false" ht="15" hidden="false" customHeight="true" outlineLevel="0" collapsed="false">
      <c r="A8" s="22" t="s">
        <v>153</v>
      </c>
      <c r="B8" s="24" t="s">
        <v>154</v>
      </c>
      <c r="C8" s="24"/>
      <c r="D8" s="24"/>
      <c r="E8" s="24"/>
      <c r="F8" s="24"/>
    </row>
    <row r="9" customFormat="false" ht="15" hidden="false" customHeight="true" outlineLevel="0" collapsed="false">
      <c r="A9" s="22" t="s">
        <v>155</v>
      </c>
      <c r="B9" s="24" t="s">
        <v>156</v>
      </c>
      <c r="C9" s="24"/>
      <c r="D9" s="24"/>
      <c r="E9" s="24"/>
      <c r="F9" s="24"/>
    </row>
    <row r="10" customFormat="false" ht="15" hidden="false" customHeight="true" outlineLevel="0" collapsed="false">
      <c r="A10" s="22" t="s">
        <v>157</v>
      </c>
      <c r="B10" s="24" t="s">
        <v>158</v>
      </c>
      <c r="C10" s="24"/>
      <c r="D10" s="24"/>
      <c r="E10" s="24"/>
      <c r="F10" s="24"/>
    </row>
    <row r="11" customFormat="false" ht="15" hidden="false" customHeight="true" outlineLevel="0" collapsed="false">
      <c r="A11" s="22" t="s">
        <v>159</v>
      </c>
      <c r="B11" s="24" t="s">
        <v>160</v>
      </c>
      <c r="C11" s="24"/>
      <c r="D11" s="24"/>
      <c r="E11" s="24"/>
      <c r="F11" s="24"/>
    </row>
    <row r="12" customFormat="false" ht="15" hidden="false" customHeight="true" outlineLevel="0" collapsed="false">
      <c r="A12" s="22" t="s">
        <v>161</v>
      </c>
      <c r="B12" s="24" t="s">
        <v>162</v>
      </c>
      <c r="C12" s="24"/>
      <c r="D12" s="24"/>
      <c r="E12" s="24"/>
      <c r="F12" s="24"/>
    </row>
    <row r="13" customFormat="false" ht="15" hidden="false" customHeight="true" outlineLevel="0" collapsed="false">
      <c r="A13" s="22" t="s">
        <v>163</v>
      </c>
      <c r="B13" s="24" t="s">
        <v>164</v>
      </c>
      <c r="C13" s="24"/>
      <c r="D13" s="24"/>
      <c r="E13" s="24"/>
      <c r="F13" s="24"/>
    </row>
    <row r="14" customFormat="false" ht="15" hidden="false" customHeight="true" outlineLevel="0" collapsed="false">
      <c r="A14" s="22" t="s">
        <v>165</v>
      </c>
      <c r="B14" s="24" t="s">
        <v>166</v>
      </c>
      <c r="C14" s="24"/>
      <c r="D14" s="24"/>
      <c r="E14" s="24"/>
      <c r="F14" s="24"/>
    </row>
    <row r="15" customFormat="false" ht="15" hidden="false" customHeight="true" outlineLevel="0" collapsed="false">
      <c r="A15" s="22" t="s">
        <v>167</v>
      </c>
      <c r="B15" s="24" t="s">
        <v>156</v>
      </c>
      <c r="C15" s="24"/>
      <c r="D15" s="24"/>
      <c r="E15" s="24"/>
      <c r="F15" s="24"/>
    </row>
    <row r="16" customFormat="false" ht="15" hidden="false" customHeight="true" outlineLevel="0" collapsed="false">
      <c r="A16" s="22" t="s">
        <v>168</v>
      </c>
      <c r="B16" s="24" t="s">
        <v>169</v>
      </c>
      <c r="C16" s="24"/>
      <c r="D16" s="24"/>
      <c r="E16" s="24"/>
      <c r="F16" s="24"/>
    </row>
    <row r="19" customFormat="false" ht="15" hidden="false" customHeight="false" outlineLevel="0" collapsed="false">
      <c r="A19" s="25" t="s">
        <v>170</v>
      </c>
      <c r="C19" s="25" t="s">
        <v>171</v>
      </c>
      <c r="D19" s="25" t="s">
        <v>172</v>
      </c>
      <c r="E19" s="25" t="s">
        <v>173</v>
      </c>
    </row>
    <row r="20" customFormat="false" ht="15" hidden="false" customHeight="false" outlineLevel="0" collapsed="false">
      <c r="A20" s="26" t="s">
        <v>174</v>
      </c>
      <c r="C20" s="9" t="n">
        <f aca="false">SUM('Line Items'!N5:N46)</f>
        <v>64032.94</v>
      </c>
      <c r="D20" s="7" t="n">
        <v>64033</v>
      </c>
      <c r="E20" s="27" t="s">
        <v>175</v>
      </c>
    </row>
    <row r="21" customFormat="false" ht="15" hidden="false" customHeight="false" outlineLevel="0" collapsed="false">
      <c r="A21" s="26" t="s">
        <v>176</v>
      </c>
      <c r="C21" s="9" t="n">
        <f aca="false">ROUND(C20*0.09,2)</f>
        <v>5762.96</v>
      </c>
      <c r="D21" s="7" t="n">
        <v>5762.94</v>
      </c>
      <c r="E21" s="27" t="s">
        <v>177</v>
      </c>
    </row>
    <row r="22" customFormat="false" ht="15" hidden="false" customHeight="false" outlineLevel="0" collapsed="false">
      <c r="A22" s="26" t="s">
        <v>178</v>
      </c>
      <c r="C22" s="9" t="n">
        <f aca="false">ROUND(C20*0.09,2)</f>
        <v>5762.96</v>
      </c>
      <c r="D22" s="7" t="n">
        <v>5762.94</v>
      </c>
      <c r="E22" s="27" t="s">
        <v>179</v>
      </c>
    </row>
    <row r="23" customFormat="false" ht="15" hidden="false" customHeight="false" outlineLevel="0" collapsed="false">
      <c r="A23" s="26" t="s">
        <v>180</v>
      </c>
      <c r="C23" s="9" t="n">
        <f aca="false">C21+C22</f>
        <v>11525.92</v>
      </c>
      <c r="D23" s="7" t="n">
        <v>11525.88</v>
      </c>
      <c r="E23" s="27" t="s">
        <v>181</v>
      </c>
    </row>
    <row r="24" customFormat="false" ht="15" hidden="false" customHeight="false" outlineLevel="0" collapsed="false">
      <c r="A24" s="26" t="s">
        <v>182</v>
      </c>
      <c r="C24" s="7" t="n">
        <v>0</v>
      </c>
      <c r="D24" s="7" t="n">
        <v>0</v>
      </c>
      <c r="E24" s="27" t="s">
        <v>183</v>
      </c>
    </row>
    <row r="25" customFormat="false" ht="15" hidden="false" customHeight="false" outlineLevel="0" collapsed="false">
      <c r="A25" s="26" t="s">
        <v>184</v>
      </c>
      <c r="C25" s="7" t="n">
        <v>0.12</v>
      </c>
      <c r="D25" s="7" t="n">
        <v>0.12</v>
      </c>
      <c r="E25" s="27" t="s">
        <v>183</v>
      </c>
    </row>
    <row r="26" customFormat="false" ht="15" hidden="false" customHeight="false" outlineLevel="0" collapsed="false">
      <c r="A26" s="28" t="s">
        <v>185</v>
      </c>
      <c r="C26" s="29" t="n">
        <f aca="false">C20+C23+C24+C25</f>
        <v>75558.98</v>
      </c>
      <c r="D26" s="29" t="n">
        <v>75559</v>
      </c>
      <c r="E26" s="30" t="s">
        <v>186</v>
      </c>
    </row>
    <row r="27" customFormat="false" ht="15" hidden="false" customHeight="false" outlineLevel="0" collapsed="false">
      <c r="A27" s="22" t="s">
        <v>187</v>
      </c>
      <c r="C27" s="31" t="n">
        <f aca="false">SUM('Line Items'!K5:K46)</f>
        <v>880</v>
      </c>
      <c r="D27" s="32" t="n">
        <v>880</v>
      </c>
    </row>
    <row r="30" customFormat="false" ht="15" hidden="false" customHeight="false" outlineLevel="0" collapsed="false">
      <c r="A30" s="33" t="s">
        <v>188</v>
      </c>
    </row>
    <row r="31" customFormat="false" ht="27.75" hidden="false" customHeight="true" outlineLevel="0" collapsed="false">
      <c r="A31" s="34" t="s">
        <v>3</v>
      </c>
      <c r="B31" s="34" t="s">
        <v>189</v>
      </c>
      <c r="C31" s="34" t="s">
        <v>12</v>
      </c>
      <c r="D31" s="34" t="s">
        <v>190</v>
      </c>
      <c r="E31" s="34" t="s">
        <v>191</v>
      </c>
      <c r="F31" s="34" t="s">
        <v>192</v>
      </c>
      <c r="G31" s="34" t="s">
        <v>193</v>
      </c>
      <c r="H31" s="34" t="s">
        <v>194</v>
      </c>
    </row>
    <row r="32" customFormat="false" ht="15" hidden="false" customHeight="false" outlineLevel="0" collapsed="false">
      <c r="A32" s="5" t="s">
        <v>21</v>
      </c>
      <c r="B32" s="35" t="n">
        <f aca="false">COUNTIF('Line Items'!$B$5:$B$46,$A32)</f>
        <v>1</v>
      </c>
      <c r="C32" s="35" t="n">
        <f aca="false">SUMIF('Line Items'!$B$5:$B$46,$A32,'Line Items'!$K$5:$K$46)</f>
        <v>50</v>
      </c>
      <c r="D32" s="9" t="n">
        <f aca="false">SUMPRODUCT(('Line Items'!$B$5:$B$46=$A32)*'Line Items'!$F$5:$F$46*'Line Items'!$K$5:$K$46)</f>
        <v>1320</v>
      </c>
      <c r="E32" s="7" t="n">
        <v>1320</v>
      </c>
      <c r="F32" s="9" t="n">
        <f aca="false">SUMPRODUCT(('Line Items'!$B$5:$B$46=$A32)*'Line Items'!$J$5:$J$46*'Line Items'!$K$5:$K$46)</f>
        <v>726</v>
      </c>
      <c r="G32" s="7" t="n">
        <v>726</v>
      </c>
      <c r="H32" s="9" t="n">
        <f aca="false">SUMIF('Line Items'!$B$5:$B$46,$A32,'Line Items'!$N$5:$N$46)</f>
        <v>615.25</v>
      </c>
    </row>
    <row r="33" customFormat="false" ht="15" hidden="false" customHeight="false" outlineLevel="0" collapsed="false">
      <c r="A33" s="5" t="s">
        <v>25</v>
      </c>
      <c r="B33" s="35" t="n">
        <f aca="false">COUNTIF('Line Items'!$B$5:$B$46,$A33)</f>
        <v>1</v>
      </c>
      <c r="C33" s="35" t="n">
        <f aca="false">SUMIF('Line Items'!$B$5:$B$46,$A33,'Line Items'!$K$5:$K$46)</f>
        <v>40</v>
      </c>
      <c r="D33" s="9" t="n">
        <f aca="false">SUMPRODUCT(('Line Items'!$B$5:$B$46=$A33)*'Line Items'!$F$5:$F$46*'Line Items'!$K$5:$K$46)</f>
        <v>7720</v>
      </c>
      <c r="E33" s="7" t="n">
        <v>7720</v>
      </c>
      <c r="F33" s="9" t="n">
        <f aca="false">SUMPRODUCT(('Line Items'!$B$5:$B$46=$A33)*'Line Items'!$J$5:$J$46*'Line Items'!$K$5:$K$46)</f>
        <v>5404</v>
      </c>
      <c r="G33" s="7" t="n">
        <v>5404</v>
      </c>
      <c r="H33" s="9" t="n">
        <f aca="false">SUMIF('Line Items'!$B$5:$B$46,$A33,'Line Items'!$N$5:$N$46)</f>
        <v>4579.66</v>
      </c>
    </row>
    <row r="34" customFormat="false" ht="15" hidden="false" customHeight="false" outlineLevel="0" collapsed="false">
      <c r="A34" s="5" t="s">
        <v>30</v>
      </c>
      <c r="B34" s="35" t="n">
        <f aca="false">COUNTIF('Line Items'!$B$5:$B$46,$A34)</f>
        <v>2</v>
      </c>
      <c r="C34" s="35" t="n">
        <f aca="false">SUMIF('Line Items'!$B$5:$B$46,$A34,'Line Items'!$K$5:$K$46)</f>
        <v>2</v>
      </c>
      <c r="D34" s="9" t="n">
        <f aca="false">SUMPRODUCT(('Line Items'!$B$5:$B$46=$A34)*'Line Items'!$F$5:$F$46*'Line Items'!$K$5:$K$46)</f>
        <v>2771</v>
      </c>
      <c r="E34" s="7" t="n">
        <v>2771</v>
      </c>
      <c r="F34" s="9" t="n">
        <f aca="false">SUMPRODUCT(('Line Items'!$B$5:$B$46=$A34)*'Line Items'!$J$5:$J$46*'Line Items'!$K$5:$K$46)</f>
        <v>1801.15</v>
      </c>
      <c r="G34" s="7" t="n">
        <v>1801.15</v>
      </c>
      <c r="H34" s="9" t="n">
        <f aca="false">SUMIF('Line Items'!$B$5:$B$46,$A34,'Line Items'!$N$5:$N$46)</f>
        <v>1526.4</v>
      </c>
    </row>
    <row r="35" customFormat="false" ht="15" hidden="false" customHeight="false" outlineLevel="0" collapsed="false">
      <c r="A35" s="5" t="s">
        <v>35</v>
      </c>
      <c r="B35" s="35" t="n">
        <f aca="false">COUNTIF('Line Items'!$B$5:$B$46,$A35)</f>
        <v>3</v>
      </c>
      <c r="C35" s="35" t="n">
        <f aca="false">SUMIF('Line Items'!$B$5:$B$46,$A35,'Line Items'!$K$5:$K$46)</f>
        <v>14</v>
      </c>
      <c r="D35" s="9" t="n">
        <f aca="false">SUMPRODUCT(('Line Items'!$B$5:$B$46=$A35)*'Line Items'!$F$5:$F$46*'Line Items'!$K$5:$K$46)</f>
        <v>6905</v>
      </c>
      <c r="E35" s="7" t="n">
        <v>6905</v>
      </c>
      <c r="F35" s="9" t="n">
        <f aca="false">SUMPRODUCT(('Line Items'!$B$5:$B$46=$A35)*'Line Items'!$J$5:$J$46*'Line Items'!$K$5:$K$46)</f>
        <v>5040.65</v>
      </c>
      <c r="G35" s="7" t="n">
        <v>5040.65</v>
      </c>
      <c r="H35" s="9" t="n">
        <f aca="false">SUMIF('Line Items'!$B$5:$B$46,$A35,'Line Items'!$N$5:$N$46)</f>
        <v>4271.74</v>
      </c>
    </row>
    <row r="36" customFormat="false" ht="15" hidden="false" customHeight="false" outlineLevel="0" collapsed="false">
      <c r="A36" s="5" t="s">
        <v>42</v>
      </c>
      <c r="B36" s="35" t="n">
        <f aca="false">COUNTIF('Line Items'!$B$5:$B$46,$A36)</f>
        <v>1</v>
      </c>
      <c r="C36" s="35" t="n">
        <f aca="false">SUMIF('Line Items'!$B$5:$B$46,$A36,'Line Items'!$K$5:$K$46)</f>
        <v>60</v>
      </c>
      <c r="D36" s="9" t="n">
        <f aca="false">SUMPRODUCT(('Line Items'!$B$5:$B$46=$A36)*'Line Items'!$F$5:$F$46*'Line Items'!$K$5:$K$46)</f>
        <v>960</v>
      </c>
      <c r="E36" s="7" t="n">
        <v>960</v>
      </c>
      <c r="F36" s="9" t="n">
        <f aca="false">SUMPRODUCT(('Line Items'!$B$5:$B$46=$A36)*'Line Items'!$J$5:$J$46*'Line Items'!$K$5:$K$46)</f>
        <v>576</v>
      </c>
      <c r="G36" s="7" t="n">
        <v>576</v>
      </c>
      <c r="H36" s="9" t="n">
        <f aca="false">SUMIF('Line Items'!$B$5:$B$46,$A36,'Line Items'!$N$5:$N$46)</f>
        <v>488.14</v>
      </c>
    </row>
    <row r="37" customFormat="false" ht="15" hidden="false" customHeight="false" outlineLevel="0" collapsed="false">
      <c r="A37" s="5" t="s">
        <v>46</v>
      </c>
      <c r="B37" s="35" t="n">
        <f aca="false">COUNTIF('Line Items'!$B$5:$B$46,$A37)</f>
        <v>1</v>
      </c>
      <c r="C37" s="35" t="n">
        <f aca="false">SUMIF('Line Items'!$B$5:$B$46,$A37,'Line Items'!$K$5:$K$46)</f>
        <v>8</v>
      </c>
      <c r="D37" s="9" t="n">
        <f aca="false">SUMPRODUCT(('Line Items'!$B$5:$B$46=$A37)*'Line Items'!$F$5:$F$46*'Line Items'!$K$5:$K$46)</f>
        <v>5024</v>
      </c>
      <c r="E37" s="7" t="n">
        <v>5024</v>
      </c>
      <c r="F37" s="9" t="n">
        <f aca="false">SUMPRODUCT(('Line Items'!$B$5:$B$46=$A37)*'Line Items'!$J$5:$J$46*'Line Items'!$K$5:$K$46)</f>
        <v>3768</v>
      </c>
      <c r="G37" s="7" t="n">
        <v>3768</v>
      </c>
      <c r="H37" s="9" t="n">
        <f aca="false">SUMIF('Line Items'!$B$5:$B$46,$A37,'Line Items'!$N$5:$N$46)</f>
        <v>3193.22</v>
      </c>
    </row>
    <row r="38" customFormat="false" ht="15" hidden="false" customHeight="false" outlineLevel="0" collapsed="false">
      <c r="A38" s="5" t="s">
        <v>49</v>
      </c>
      <c r="B38" s="35" t="n">
        <f aca="false">COUNTIF('Line Items'!$B$5:$B$46,$A38)</f>
        <v>3</v>
      </c>
      <c r="C38" s="35" t="n">
        <f aca="false">SUMIF('Line Items'!$B$5:$B$46,$A38,'Line Items'!$K$5:$K$46)</f>
        <v>153</v>
      </c>
      <c r="D38" s="9" t="n">
        <f aca="false">SUMPRODUCT(('Line Items'!$B$5:$B$46=$A38)*'Line Items'!$F$5:$F$46*'Line Items'!$K$5:$K$46)</f>
        <v>20715</v>
      </c>
      <c r="E38" s="7" t="n">
        <v>20715</v>
      </c>
      <c r="F38" s="9" t="n">
        <f aca="false">SUMPRODUCT(('Line Items'!$B$5:$B$46=$A38)*'Line Items'!$J$5:$J$46*'Line Items'!$K$5:$K$46)</f>
        <v>20715</v>
      </c>
      <c r="G38" s="7" t="n">
        <v>20715</v>
      </c>
      <c r="H38" s="9" t="n">
        <f aca="false">SUMIF('Line Items'!$B$5:$B$46,$A38,'Line Items'!$N$5:$N$46)</f>
        <v>17555.08</v>
      </c>
    </row>
    <row r="39" customFormat="false" ht="15" hidden="false" customHeight="false" outlineLevel="0" collapsed="false">
      <c r="A39" s="5" t="s">
        <v>57</v>
      </c>
      <c r="B39" s="35" t="n">
        <f aca="false">COUNTIF('Line Items'!$B$5:$B$46,$A39)</f>
        <v>1</v>
      </c>
      <c r="C39" s="35" t="n">
        <f aca="false">SUMIF('Line Items'!$B$5:$B$46,$A39,'Line Items'!$K$5:$K$46)</f>
        <v>3</v>
      </c>
      <c r="D39" s="9" t="n">
        <f aca="false">SUMPRODUCT(('Line Items'!$B$5:$B$46=$A39)*'Line Items'!$F$5:$F$46*'Line Items'!$K$5:$K$46)</f>
        <v>1662</v>
      </c>
      <c r="E39" s="7" t="n">
        <v>1662</v>
      </c>
      <c r="F39" s="9" t="n">
        <f aca="false">SUMPRODUCT(('Line Items'!$B$5:$B$46=$A39)*'Line Items'!$J$5:$J$46*'Line Items'!$K$5:$K$46)</f>
        <v>1196.64</v>
      </c>
      <c r="G39" s="7" t="n">
        <v>1196.64</v>
      </c>
      <c r="H39" s="9" t="n">
        <f aca="false">SUMIF('Line Items'!$B$5:$B$46,$A39,'Line Items'!$N$5:$N$46)</f>
        <v>1014.1</v>
      </c>
    </row>
    <row r="40" customFormat="false" ht="15" hidden="false" customHeight="false" outlineLevel="0" collapsed="false">
      <c r="A40" s="5" t="s">
        <v>61</v>
      </c>
      <c r="B40" s="35" t="n">
        <f aca="false">COUNTIF('Line Items'!$B$5:$B$46,$A40)</f>
        <v>1</v>
      </c>
      <c r="C40" s="35" t="n">
        <f aca="false">SUMIF('Line Items'!$B$5:$B$46,$A40,'Line Items'!$K$5:$K$46)</f>
        <v>4</v>
      </c>
      <c r="D40" s="9" t="n">
        <f aca="false">SUMPRODUCT(('Line Items'!$B$5:$B$46=$A40)*'Line Items'!$F$5:$F$46*'Line Items'!$K$5:$K$46)</f>
        <v>1704</v>
      </c>
      <c r="E40" s="7" t="n">
        <v>1704</v>
      </c>
      <c r="F40" s="9" t="n">
        <f aca="false">SUMPRODUCT(('Line Items'!$B$5:$B$46=$A40)*'Line Items'!$J$5:$J$46*'Line Items'!$K$5:$K$46)</f>
        <v>1226.88</v>
      </c>
      <c r="G40" s="7" t="n">
        <v>1226.88</v>
      </c>
      <c r="H40" s="9" t="n">
        <f aca="false">SUMIF('Line Items'!$B$5:$B$46,$A40,'Line Items'!$N$5:$N$46)</f>
        <v>1039.73</v>
      </c>
    </row>
    <row r="41" customFormat="false" ht="15" hidden="false" customHeight="false" outlineLevel="0" collapsed="false">
      <c r="A41" s="5" t="s">
        <v>64</v>
      </c>
      <c r="B41" s="35" t="n">
        <f aca="false">COUNTIF('Line Items'!$B$5:$B$46,$A41)</f>
        <v>1</v>
      </c>
      <c r="C41" s="35" t="n">
        <f aca="false">SUMIF('Line Items'!$B$5:$B$46,$A41,'Line Items'!$K$5:$K$46)</f>
        <v>2</v>
      </c>
      <c r="D41" s="9" t="n">
        <f aca="false">SUMPRODUCT(('Line Items'!$B$5:$B$46=$A41)*'Line Items'!$F$5:$F$46*'Line Items'!$K$5:$K$46)</f>
        <v>514</v>
      </c>
      <c r="E41" s="7" t="n">
        <v>514</v>
      </c>
      <c r="F41" s="9" t="n">
        <f aca="false">SUMPRODUCT(('Line Items'!$B$5:$B$46=$A41)*'Line Items'!$J$5:$J$46*'Line Items'!$K$5:$K$46)</f>
        <v>257</v>
      </c>
      <c r="G41" s="7" t="n">
        <v>257</v>
      </c>
      <c r="H41" s="9" t="n">
        <f aca="false">SUMIF('Line Items'!$B$5:$B$46,$A41,'Line Items'!$N$5:$N$46)</f>
        <v>217.8</v>
      </c>
    </row>
    <row r="42" customFormat="false" ht="15" hidden="false" customHeight="false" outlineLevel="0" collapsed="false">
      <c r="A42" s="5" t="s">
        <v>67</v>
      </c>
      <c r="B42" s="35" t="n">
        <f aca="false">COUNTIF('Line Items'!$B$5:$B$46,$A42)</f>
        <v>1</v>
      </c>
      <c r="C42" s="35" t="n">
        <f aca="false">SUMIF('Line Items'!$B$5:$B$46,$A42,'Line Items'!$K$5:$K$46)</f>
        <v>5</v>
      </c>
      <c r="D42" s="9" t="n">
        <f aca="false">SUMPRODUCT(('Line Items'!$B$5:$B$46=$A42)*'Line Items'!$F$5:$F$46*'Line Items'!$K$5:$K$46)</f>
        <v>1750</v>
      </c>
      <c r="E42" s="7" t="n">
        <v>1750</v>
      </c>
      <c r="F42" s="9" t="n">
        <f aca="false">SUMPRODUCT(('Line Items'!$B$5:$B$46=$A42)*'Line Items'!$J$5:$J$46*'Line Items'!$K$5:$K$46)</f>
        <v>997.5</v>
      </c>
      <c r="G42" s="7" t="n">
        <v>997.5</v>
      </c>
      <c r="H42" s="9" t="n">
        <f aca="false">SUMIF('Line Items'!$B$5:$B$46,$A42,'Line Items'!$N$5:$N$46)</f>
        <v>845.34</v>
      </c>
    </row>
    <row r="43" customFormat="false" ht="15" hidden="false" customHeight="false" outlineLevel="0" collapsed="false">
      <c r="A43" s="5" t="s">
        <v>71</v>
      </c>
      <c r="B43" s="35" t="n">
        <f aca="false">COUNTIF('Line Items'!$B$5:$B$46,$A43)</f>
        <v>2</v>
      </c>
      <c r="C43" s="35" t="n">
        <f aca="false">SUMIF('Line Items'!$B$5:$B$46,$A43,'Line Items'!$K$5:$K$46)</f>
        <v>7</v>
      </c>
      <c r="D43" s="9" t="n">
        <f aca="false">SUMPRODUCT(('Line Items'!$B$5:$B$46=$A43)*'Line Items'!$F$5:$F$46*'Line Items'!$K$5:$K$46)</f>
        <v>5300</v>
      </c>
      <c r="E43" s="7" t="n">
        <v>5300</v>
      </c>
      <c r="F43" s="9" t="n">
        <f aca="false">SUMPRODUCT(('Line Items'!$B$5:$B$46=$A43)*'Line Items'!$J$5:$J$46*'Line Items'!$K$5:$K$46)</f>
        <v>3021</v>
      </c>
      <c r="G43" s="7" t="n">
        <v>3021</v>
      </c>
      <c r="H43" s="9" t="n">
        <f aca="false">SUMIF('Line Items'!$B$5:$B$46,$A43,'Line Items'!$N$5:$N$46)</f>
        <v>2560.17</v>
      </c>
    </row>
    <row r="44" customFormat="false" ht="15" hidden="false" customHeight="false" outlineLevel="0" collapsed="false">
      <c r="A44" s="5" t="s">
        <v>76</v>
      </c>
      <c r="B44" s="35" t="n">
        <f aca="false">COUNTIF('Line Items'!$B$5:$B$46,$A44)</f>
        <v>13</v>
      </c>
      <c r="C44" s="35" t="n">
        <f aca="false">SUMIF('Line Items'!$B$5:$B$46,$A44,'Line Items'!$K$5:$K$46)</f>
        <v>72</v>
      </c>
      <c r="D44" s="9" t="n">
        <f aca="false">SUMPRODUCT(('Line Items'!$B$5:$B$46=$A44)*'Line Items'!$F$5:$F$46*'Line Items'!$K$5:$K$46)</f>
        <v>39095</v>
      </c>
      <c r="E44" s="7" t="n">
        <v>39095</v>
      </c>
      <c r="F44" s="9" t="n">
        <f aca="false">SUMPRODUCT(('Line Items'!$B$5:$B$46=$A44)*'Line Items'!$J$5:$J$46*'Line Items'!$K$5:$K$46)</f>
        <v>24238.9</v>
      </c>
      <c r="G44" s="7" t="n">
        <v>24238.9</v>
      </c>
      <c r="H44" s="9" t="n">
        <f aca="false">SUMIF('Line Items'!$B$5:$B$46,$A44,'Line Items'!$N$5:$N$46)</f>
        <v>20541.44</v>
      </c>
    </row>
    <row r="45" customFormat="false" ht="15" hidden="false" customHeight="false" outlineLevel="0" collapsed="false">
      <c r="A45" s="5" t="s">
        <v>104</v>
      </c>
      <c r="B45" s="35" t="n">
        <f aca="false">COUNTIF('Line Items'!$B$5:$B$46,$A45)</f>
        <v>2</v>
      </c>
      <c r="C45" s="35" t="n">
        <f aca="false">SUMIF('Line Items'!$B$5:$B$46,$A45,'Line Items'!$K$5:$K$46)</f>
        <v>10</v>
      </c>
      <c r="D45" s="9" t="n">
        <f aca="false">SUMPRODUCT(('Line Items'!$B$5:$B$46=$A45)*'Line Items'!$F$5:$F$46*'Line Items'!$K$5:$K$46)</f>
        <v>1860</v>
      </c>
      <c r="E45" s="7" t="n">
        <v>1860</v>
      </c>
      <c r="F45" s="9" t="n">
        <f aca="false">SUMPRODUCT(('Line Items'!$B$5:$B$46=$A45)*'Line Items'!$J$5:$J$46*'Line Items'!$K$5:$K$46)</f>
        <v>1078.8</v>
      </c>
      <c r="G45" s="7" t="n">
        <v>1078.8</v>
      </c>
      <c r="H45" s="9" t="n">
        <f aca="false">SUMIF('Line Items'!$B$5:$B$46,$A45,'Line Items'!$N$5:$N$46)</f>
        <v>914.24</v>
      </c>
    </row>
    <row r="46" customFormat="false" ht="15" hidden="false" customHeight="false" outlineLevel="0" collapsed="false">
      <c r="A46" s="5" t="s">
        <v>110</v>
      </c>
      <c r="B46" s="35" t="n">
        <f aca="false">COUNTIF('Line Items'!$B$5:$B$46,$A46)</f>
        <v>6</v>
      </c>
      <c r="C46" s="35" t="n">
        <f aca="false">SUMIF('Line Items'!$B$5:$B$46,$A46,'Line Items'!$K$5:$K$46)</f>
        <v>445</v>
      </c>
      <c r="D46" s="9" t="n">
        <f aca="false">SUMPRODUCT(('Line Items'!$B$5:$B$46=$A46)*'Line Items'!$F$5:$F$46*'Line Items'!$K$5:$K$46)</f>
        <v>6408</v>
      </c>
      <c r="E46" s="7" t="n">
        <v>6408</v>
      </c>
      <c r="F46" s="9" t="n">
        <f aca="false">SUMPRODUCT(('Line Items'!$B$5:$B$46=$A46)*'Line Items'!$J$5:$J$46*'Line Items'!$K$5:$K$46)</f>
        <v>3524.4</v>
      </c>
      <c r="G46" s="7" t="n">
        <v>3524.4</v>
      </c>
      <c r="H46" s="9" t="n">
        <f aca="false">SUMIF('Line Items'!$B$5:$B$46,$A46,'Line Items'!$N$5:$N$46)</f>
        <v>2986.77</v>
      </c>
    </row>
    <row r="47" customFormat="false" ht="15" hidden="false" customHeight="false" outlineLevel="0" collapsed="false">
      <c r="A47" s="5" t="s">
        <v>123</v>
      </c>
      <c r="B47" s="35" t="n">
        <f aca="false">COUNTIF('Line Items'!$B$5:$B$46,$A47)</f>
        <v>1</v>
      </c>
      <c r="C47" s="35" t="n">
        <f aca="false">SUMIF('Line Items'!$B$5:$B$46,$A47,'Line Items'!$K$5:$K$46)</f>
        <v>3</v>
      </c>
      <c r="D47" s="9" t="n">
        <f aca="false">SUMPRODUCT(('Line Items'!$B$5:$B$46=$A47)*'Line Items'!$F$5:$F$46*'Line Items'!$K$5:$K$46)</f>
        <v>312</v>
      </c>
      <c r="E47" s="7" t="n">
        <v>312</v>
      </c>
      <c r="F47" s="9" t="n">
        <f aca="false">SUMPRODUCT(('Line Items'!$B$5:$B$46=$A47)*'Line Items'!$J$5:$J$46*'Line Items'!$K$5:$K$46)</f>
        <v>202.8</v>
      </c>
      <c r="G47" s="7" t="n">
        <v>202.8</v>
      </c>
      <c r="H47" s="9" t="n">
        <f aca="false">SUMIF('Line Items'!$B$5:$B$46,$A47,'Line Items'!$N$5:$N$46)</f>
        <v>171.86</v>
      </c>
    </row>
    <row r="48" customFormat="false" ht="15" hidden="false" customHeight="false" outlineLevel="0" collapsed="false">
      <c r="A48" s="5" t="s">
        <v>127</v>
      </c>
      <c r="B48" s="35" t="n">
        <f aca="false">COUNTIF('Line Items'!$B$5:$B$46,$A48)</f>
        <v>2</v>
      </c>
      <c r="C48" s="35" t="n">
        <f aca="false">SUMIF('Line Items'!$B$5:$B$46,$A48,'Line Items'!$K$5:$K$46)</f>
        <v>2</v>
      </c>
      <c r="D48" s="9" t="n">
        <f aca="false">SUMPRODUCT(('Line Items'!$B$5:$B$46=$A48)*'Line Items'!$F$5:$F$46*'Line Items'!$K$5:$K$46)</f>
        <v>2478</v>
      </c>
      <c r="E48" s="7" t="n">
        <v>2478</v>
      </c>
      <c r="F48" s="9" t="n">
        <f aca="false">SUMPRODUCT(('Line Items'!$B$5:$B$46=$A48)*'Line Items'!$J$5:$J$46*'Line Items'!$K$5:$K$46)</f>
        <v>1784.16</v>
      </c>
      <c r="G48" s="7" t="n">
        <v>1784.16</v>
      </c>
      <c r="H48" s="9" t="n">
        <f aca="false">SUMIF('Line Items'!$B$5:$B$46,$A48,'Line Items'!$N$5:$N$46)</f>
        <v>1512</v>
      </c>
    </row>
    <row r="49" customFormat="false" ht="15" hidden="false" customHeight="false" outlineLevel="0" collapsed="false">
      <c r="A49" s="18" t="s">
        <v>132</v>
      </c>
      <c r="B49" s="20" t="n">
        <f aca="false">SUM(B32:B48)</f>
        <v>42</v>
      </c>
      <c r="C49" s="20" t="n">
        <f aca="false">SUM(C32:C48)</f>
        <v>880</v>
      </c>
      <c r="D49" s="21" t="n">
        <f aca="false">SUM(D32:D48)</f>
        <v>106498</v>
      </c>
      <c r="E49" s="21" t="n">
        <f aca="false">SUM(E32:E48)</f>
        <v>106498</v>
      </c>
      <c r="F49" s="21" t="n">
        <f aca="false">SUM(F32:F48)</f>
        <v>75558.88</v>
      </c>
      <c r="G49" s="21" t="n">
        <f aca="false">SUM(G32:G48)</f>
        <v>75558.88</v>
      </c>
      <c r="H49" s="21" t="n">
        <f aca="false">SUM(H32:H48)</f>
        <v>64032.94</v>
      </c>
    </row>
    <row r="51" customFormat="false" ht="25.5" hidden="false" customHeight="true" outlineLevel="0" collapsed="false">
      <c r="A51" s="23" t="s">
        <v>195</v>
      </c>
      <c r="B51" s="23"/>
      <c r="C51" s="23"/>
      <c r="D51" s="23"/>
      <c r="E51" s="23"/>
      <c r="F51" s="23"/>
      <c r="G51" s="23"/>
      <c r="H51" s="23"/>
    </row>
    <row r="52" customFormat="false" ht="25.5" hidden="false" customHeight="true" outlineLevel="0" collapsed="false">
      <c r="A52" s="23" t="s">
        <v>196</v>
      </c>
      <c r="B52" s="23"/>
      <c r="C52" s="23"/>
      <c r="D52" s="23"/>
      <c r="E52" s="23"/>
      <c r="F52" s="23"/>
      <c r="G52" s="23"/>
      <c r="H52" s="23"/>
    </row>
    <row r="53" customFormat="false" ht="25.5" hidden="false" customHeight="true" outlineLevel="0" collapsed="false">
      <c r="A53" s="23" t="s">
        <v>197</v>
      </c>
      <c r="B53" s="23"/>
      <c r="C53" s="23"/>
      <c r="D53" s="23"/>
      <c r="E53" s="23"/>
      <c r="F53" s="23"/>
      <c r="G53" s="23"/>
      <c r="H53" s="23"/>
    </row>
  </sheetData>
  <mergeCells count="17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51:H51"/>
    <mergeCell ref="A52:H52"/>
    <mergeCell ref="A53:H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2026-08-31T21:47:27Z</dcterms:created>
  <dc:creator>openpyxl</dc:creator>
  <dc:description/>
  <dc:language>en-US</dc:language>
  <cp:lastModifiedBy/>
  <dcterms:modified xsi:type="dcterms:W3CDTF">2026-08-31T21:47:27Z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