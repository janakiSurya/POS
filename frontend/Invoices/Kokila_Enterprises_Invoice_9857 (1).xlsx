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Line Items" sheetId="1" state="visible" r:id="rId3"/>
    <sheet name="Page Balances" sheetId="2" state="visible" r:id="rId4"/>
    <sheet name="HSN Summary" sheetId="3" state="visible" r:id="rId5"/>
    <sheet name="Invoice Summary" sheetId="4" state="visible" r:id="rId6"/>
  </sheets>
  <definedNames>
    <definedName function="false" hidden="true" localSheetId="0" name="_xlnm._FilterDatabase" vbProcedure="false">'Line Items'!$A$1:$W$238</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<sst xmlns="http://schemas.openxmlformats.org/spreadsheetml/2006/main" count="1115" uniqueCount="630">
  <si>
    <t xml:space="preserve">Sn</t>
  </si>
  <si>
    <t xml:space="preserve">Code</t>
  </si>
  <si>
    <t xml:space="preserve">Name</t>
  </si>
  <si>
    <t xml:space="preserve">HSN</t>
  </si>
  <si>
    <t xml:space="preserve">M.R.P</t>
  </si>
  <si>
    <t xml:space="preserve">Qty</t>
  </si>
  <si>
    <t xml:space="preserve">Rate</t>
  </si>
  <si>
    <t xml:space="preserve">Amount</t>
  </si>
  <si>
    <t xml:space="preserve">Dis %</t>
  </si>
  <si>
    <t xml:space="preserve">Taxable Value</t>
  </si>
  <si>
    <t xml:space="preserve">CGST %</t>
  </si>
  <si>
    <t xml:space="preserve">CGST Value</t>
  </si>
  <si>
    <t xml:space="preserve">SGST %</t>
  </si>
  <si>
    <t xml:space="preserve">SGST Value</t>
  </si>
  <si>
    <t xml:space="preserve">Line Total (Taxable+GST)</t>
  </si>
  <si>
    <t xml:space="preserve">Effective M.R.P (Amount x 1.18 / Qty)</t>
  </si>
  <si>
    <t xml:space="preserve">Check Taxable (Amount x 80%)</t>
  </si>
  <si>
    <t xml:space="preserve">Diff</t>
  </si>
  <si>
    <t xml:space="preserve">Check CGST (Taxable x 9%)</t>
  </si>
  <si>
    <t xml:space="preserve">Page</t>
  </si>
  <si>
    <t xml:space="preserve">Verification</t>
  </si>
  <si>
    <t xml:space="preserve">Note</t>
  </si>
  <si>
    <t xml:space="preserve">Cost per unit (excl. GST)</t>
  </si>
  <si>
    <t xml:space="preserve">35340KCC900S</t>
  </si>
  <si>
    <t xml:space="preserve">SWITCH ASSY FR STO</t>
  </si>
  <si>
    <t xml:space="preserve">85365020</t>
  </si>
  <si>
    <t xml:space="preserve">Confirmed vs image</t>
  </si>
  <si>
    <t xml:space="preserve">35340KTP890S</t>
  </si>
  <si>
    <t xml:space="preserve">SW ASSY FR STOP</t>
  </si>
  <si>
    <t xml:space="preserve">35750001000S</t>
  </si>
  <si>
    <t xml:space="preserve">NETURAL SWITCH ALL</t>
  </si>
  <si>
    <t xml:space="preserve">85361090</t>
  </si>
  <si>
    <t xml:space="preserve">35753035010S</t>
  </si>
  <si>
    <t xml:space="preserve">NATURAL BLADE ALL</t>
  </si>
  <si>
    <t xml:space="preserve">87141090</t>
  </si>
  <si>
    <t xml:space="preserve">35759KTRA01S</t>
  </si>
  <si>
    <t xml:space="preserve">CONTACT ASSY CHAN</t>
  </si>
  <si>
    <t xml:space="preserve">85369090</t>
  </si>
  <si>
    <t xml:space="preserve">35850KR3870S</t>
  </si>
  <si>
    <t xml:space="preserve">GLM SLEF RELAY</t>
  </si>
  <si>
    <t xml:space="preserve">37100AAEH00S</t>
  </si>
  <si>
    <t xml:space="preserve">METER ASSY</t>
  </si>
  <si>
    <t xml:space="preserve">37211AAC021S</t>
  </si>
  <si>
    <t xml:space="preserve">CASE UPPER ASSY A</t>
  </si>
  <si>
    <t xml:space="preserve">37211KTRA21S</t>
  </si>
  <si>
    <t xml:space="preserve">GLA DIG SM UPPER</t>
  </si>
  <si>
    <t xml:space="preserve">37610KST951S</t>
  </si>
  <si>
    <t xml:space="preserve">C ASE UPPER ASSY</t>
  </si>
  <si>
    <t xml:space="preserve">37700KTRA21S</t>
  </si>
  <si>
    <t xml:space="preserve">SENSOR ASSY SPEED</t>
  </si>
  <si>
    <t xml:space="preserve">90299000</t>
  </si>
  <si>
    <t xml:space="preserve">37700KWA830S</t>
  </si>
  <si>
    <t xml:space="preserve">SP.SENSOR ASSY</t>
  </si>
  <si>
    <t xml:space="preserve">37800KTRA01S</t>
  </si>
  <si>
    <t xml:space="preserve">UNIT ASSY FUELL</t>
  </si>
  <si>
    <t xml:space="preserve">90261020</t>
  </si>
  <si>
    <t xml:space="preserve">38110KCC900S</t>
  </si>
  <si>
    <t xml:space="preserve">HORN SPL</t>
  </si>
  <si>
    <t xml:space="preserve">85123010</t>
  </si>
  <si>
    <t xml:space="preserve">38110KST900S</t>
  </si>
  <si>
    <t xml:space="preserve">HORN CD DLX</t>
  </si>
  <si>
    <t xml:space="preserve">38501AAW30099</t>
  </si>
  <si>
    <t xml:space="preserve">REALY COMP START</t>
  </si>
  <si>
    <t xml:space="preserve">40510AAE200S</t>
  </si>
  <si>
    <t xml:space="preserve">CASE UP(HALF) DRIVE</t>
  </si>
  <si>
    <t xml:space="preserve">40510AAT000S</t>
  </si>
  <si>
    <t xml:space="preserve">CHAINCASE UPPER</t>
  </si>
  <si>
    <t xml:space="preserve">40510KTR940S</t>
  </si>
  <si>
    <t xml:space="preserve">CASE UP HALF DRIVE</t>
  </si>
  <si>
    <t xml:space="preserve">40520AAT000S</t>
  </si>
  <si>
    <t xml:space="preserve">CHAIN CASE LOWER</t>
  </si>
  <si>
    <t xml:space="preserve">40520KTR940S</t>
  </si>
  <si>
    <t xml:space="preserve">CASE UND HALF DRIV</t>
  </si>
  <si>
    <t xml:space="preserve">4052AAAE200S</t>
  </si>
  <si>
    <t xml:space="preserve">CHAIN CASE UND HAL</t>
  </si>
  <si>
    <t xml:space="preserve">40545001000S</t>
  </si>
  <si>
    <t xml:space="preserve">CAP CHAIN PEEP HOL</t>
  </si>
  <si>
    <t xml:space="preserve">40169990</t>
  </si>
  <si>
    <t xml:space="preserve">40545ABA000S</t>
  </si>
  <si>
    <t xml:space="preserve">CAP CHAIN PEEP H OI</t>
  </si>
  <si>
    <t xml:space="preserve">40591KCC900S</t>
  </si>
  <si>
    <t xml:space="preserve">SUSPENSSION PAD SI</t>
  </si>
  <si>
    <t xml:space="preserve">41241KSP900S</t>
  </si>
  <si>
    <t xml:space="preserve">DAMPER RR WHEEL</t>
  </si>
  <si>
    <t xml:space="preserve">41241KTC900S</t>
  </si>
  <si>
    <t xml:space="preserve">DRUM RUBBER S SPL</t>
  </si>
  <si>
    <t xml:space="preserve">42301ABA000S</t>
  </si>
  <si>
    <t xml:space="preserve">AXLE RR WHEEL **</t>
  </si>
  <si>
    <t xml:space="preserve">42301KTR700S</t>
  </si>
  <si>
    <t xml:space="preserve">AXLE REAR WHEEL</t>
  </si>
  <si>
    <t xml:space="preserve">42601198D00S</t>
  </si>
  <si>
    <t xml:space="preserve">HUB RR.WHEEL</t>
  </si>
  <si>
    <t xml:space="preserve">42610198900S</t>
  </si>
  <si>
    <t xml:space="preserve">FLANGE FINAL DRIVEN</t>
  </si>
  <si>
    <t xml:space="preserve">42610KWP900S</t>
  </si>
  <si>
    <t xml:space="preserve">HUB SUB ASSY REAR</t>
  </si>
  <si>
    <t xml:space="preserve">42702KPL900S</t>
  </si>
  <si>
    <t xml:space="preserve">RIM COMPWHEEL</t>
  </si>
  <si>
    <t xml:space="preserve">42702KWP900S</t>
  </si>
  <si>
    <t xml:space="preserve">RIMCOMPWHEEL</t>
  </si>
  <si>
    <t xml:space="preserve">43120365H70S</t>
  </si>
  <si>
    <t xml:space="preserve">REAR BRAKE SHOE CI</t>
  </si>
  <si>
    <t xml:space="preserve">43410KCC900S</t>
  </si>
  <si>
    <t xml:space="preserve">ARM RR BREAK</t>
  </si>
  <si>
    <t xml:space="preserve">43410KCT690S</t>
  </si>
  <si>
    <t xml:space="preserve">ARM RR BRAKE</t>
  </si>
  <si>
    <t xml:space="preserve">43431198900S</t>
  </si>
  <si>
    <t xml:space="preserve">ARM RR BREAK STOPI</t>
  </si>
  <si>
    <t xml:space="preserve">43450AAW900S</t>
  </si>
  <si>
    <t xml:space="preserve">BR CABLE</t>
  </si>
  <si>
    <t xml:space="preserve">43450KTP900S</t>
  </si>
  <si>
    <t xml:space="preserve">PLSR RR BRK CABLE</t>
  </si>
  <si>
    <t xml:space="preserve">43450KZN910S</t>
  </si>
  <si>
    <t xml:space="preserve">CABLE COMP R R BRK</t>
  </si>
  <si>
    <t xml:space="preserve">43451KCC600S</t>
  </si>
  <si>
    <t xml:space="preserve">ROD COMP.RR.BRAKE</t>
  </si>
  <si>
    <t xml:space="preserve">43451KTC900S</t>
  </si>
  <si>
    <t xml:space="preserve">RODCOMP RR BRK</t>
  </si>
  <si>
    <t xml:space="preserve">44301KTR700S</t>
  </si>
  <si>
    <t xml:space="preserve">AXLE FR WHEEL</t>
  </si>
  <si>
    <t xml:space="preserve">44701AACH50S</t>
  </si>
  <si>
    <t xml:space="preserve">WHEEL RING</t>
  </si>
  <si>
    <t xml:space="preserve">44830KVEH00S</t>
  </si>
  <si>
    <t xml:space="preserve">S.M CABLE CBZ XTRE</t>
  </si>
  <si>
    <t xml:space="preserve">44830KWA830S</t>
  </si>
  <si>
    <t xml:space="preserve">CABLECOMPSPDMT</t>
  </si>
  <si>
    <t xml:space="preserve">44830KWA910S</t>
  </si>
  <si>
    <t xml:space="preserve">SM CABLE PRO</t>
  </si>
  <si>
    <t xml:space="preserve">44830KZN900S</t>
  </si>
  <si>
    <t xml:space="preserve">CABLE COMP SP DMT</t>
  </si>
  <si>
    <t xml:space="preserve">45125KCCH00S</t>
  </si>
  <si>
    <t xml:space="preserve">SPL FRONT BREAK SH</t>
  </si>
  <si>
    <t xml:space="preserve">45126KVE900S</t>
  </si>
  <si>
    <t xml:space="preserve">HOSE COMP FRONT B</t>
  </si>
  <si>
    <t xml:space="preserve">45132KCC841S</t>
  </si>
  <si>
    <t xml:space="preserve">BOSH BOOT PIN*</t>
  </si>
  <si>
    <t xml:space="preserve">45133KCC841S</t>
  </si>
  <si>
    <t xml:space="preserve">BREAK SHOES SPRIN</t>
  </si>
  <si>
    <t xml:space="preserve">73202000</t>
  </si>
  <si>
    <t xml:space="preserve">45250KCC841S</t>
  </si>
  <si>
    <t xml:space="preserve">MC ASSY UNDER</t>
  </si>
  <si>
    <t xml:space="preserve">45251KVE901S</t>
  </si>
  <si>
    <t xml:space="preserve">DISC FR PLATE</t>
  </si>
  <si>
    <t xml:space="preserve">45410KCC900S</t>
  </si>
  <si>
    <t xml:space="preserve">ARM FR BRK</t>
  </si>
  <si>
    <t xml:space="preserve">45410KTRA20S</t>
  </si>
  <si>
    <t xml:space="preserve">ARM FR BRAKE</t>
  </si>
  <si>
    <t xml:space="preserve">45440AAL100S</t>
  </si>
  <si>
    <t xml:space="preserve">CABLE COMP LH FR</t>
  </si>
  <si>
    <t xml:space="preserve">45440AAW000S</t>
  </si>
  <si>
    <t xml:space="preserve">LH FR BR CABLE</t>
  </si>
  <si>
    <t xml:space="preserve">45440KZN910S</t>
  </si>
  <si>
    <t xml:space="preserve">CABLE COMP LH FR K</t>
  </si>
  <si>
    <t xml:space="preserve">45450AAL100S</t>
  </si>
  <si>
    <t xml:space="preserve">CABLE COMP RH FR</t>
  </si>
  <si>
    <t xml:space="preserve">45450AAW000S</t>
  </si>
  <si>
    <t xml:space="preserve">BR CABLE FR C</t>
  </si>
  <si>
    <t xml:space="preserve">45450KCC900S</t>
  </si>
  <si>
    <t xml:space="preserve">FRBRAKE CABLE SPL</t>
  </si>
  <si>
    <t xml:space="preserve">45450KTRA20S</t>
  </si>
  <si>
    <t xml:space="preserve">GLM DIG FR BRK CABL</t>
  </si>
  <si>
    <t xml:space="preserve">45450KZN910S</t>
  </si>
  <si>
    <t xml:space="preserve">CABLE COMP SPDMTT</t>
  </si>
  <si>
    <t xml:space="preserve">45451AAF400S</t>
  </si>
  <si>
    <t xml:space="preserve">GUIDE FR (FENDR) CA</t>
  </si>
  <si>
    <t xml:space="preserve">45475AAT200S</t>
  </si>
  <si>
    <t xml:space="preserve">CABLE COMPER BOX</t>
  </si>
  <si>
    <t xml:space="preserve">45510KVN901S</t>
  </si>
  <si>
    <t xml:space="preserve">M/C ASSY FR BRK</t>
  </si>
  <si>
    <t xml:space="preserve">46500KTRA00S</t>
  </si>
  <si>
    <t xml:space="preserve">PEDAL BRK</t>
  </si>
  <si>
    <t xml:space="preserve">46500KWA910S</t>
  </si>
  <si>
    <t xml:space="preserve">PEDALBRAKE</t>
  </si>
  <si>
    <t xml:space="preserve">50186KWA830S</t>
  </si>
  <si>
    <t xml:space="preserve">STAY R WINKER</t>
  </si>
  <si>
    <t xml:space="preserve">50355KPL900S</t>
  </si>
  <si>
    <t xml:space="preserve">LINK SUB ASSY ENG</t>
  </si>
  <si>
    <t xml:space="preserve">50701KCC900S</t>
  </si>
  <si>
    <t xml:space="preserve">FOOTREST BKT SPL P</t>
  </si>
  <si>
    <t xml:space="preserve">50701KWA830S</t>
  </si>
  <si>
    <t xml:space="preserve">PRO FT BRACKET RH</t>
  </si>
  <si>
    <t xml:space="preserve">50702KCC870S</t>
  </si>
  <si>
    <t xml:space="preserve">FOOTREST BR KIT L.S</t>
  </si>
  <si>
    <t xml:space="preserve">50702KST940S</t>
  </si>
  <si>
    <t xml:space="preserve">PRO FT NRACKET LH</t>
  </si>
  <si>
    <t xml:space="preserve">50702KTRA60S</t>
  </si>
  <si>
    <t xml:space="preserve">BRKT COMP P STEP</t>
  </si>
  <si>
    <t xml:space="preserve">50803KCC900S</t>
  </si>
  <si>
    <t xml:space="preserve">BUMPER SPL</t>
  </si>
  <si>
    <t xml:space="preserve">50803KST940S</t>
  </si>
  <si>
    <t xml:space="preserve">BUMPER CD DLX</t>
  </si>
  <si>
    <t xml:space="preserve">50803KTR840S</t>
  </si>
  <si>
    <t xml:space="preserve">FR BUMPER GLM</t>
  </si>
  <si>
    <t xml:space="preserve">50803KWA940S</t>
  </si>
  <si>
    <t xml:space="preserve">FM BUMPER PRO</t>
  </si>
  <si>
    <t xml:space="preserve">51102KTRA00S</t>
  </si>
  <si>
    <t xml:space="preserve">FR BR CABLECOMP</t>
  </si>
  <si>
    <t xml:space="preserve">51103AAC200S</t>
  </si>
  <si>
    <t xml:space="preserve">SARI GUARD</t>
  </si>
  <si>
    <t xml:space="preserve">51103KCC900S</t>
  </si>
  <si>
    <t xml:space="preserve">SPL SAREEGUARD</t>
  </si>
  <si>
    <t xml:space="preserve">51104AAC200S</t>
  </si>
  <si>
    <t xml:space="preserve">STEP WO MEN</t>
  </si>
  <si>
    <t xml:space="preserve">51104KCC900S</t>
  </si>
  <si>
    <t xml:space="preserve">STEP PILLION WOMEN</t>
  </si>
  <si>
    <t xml:space="preserve">51105AAL000S</t>
  </si>
  <si>
    <t xml:space="preserve">FORK COMP FRONT</t>
  </si>
  <si>
    <t xml:space="preserve">51105KZN900S</t>
  </si>
  <si>
    <t xml:space="preserve">FORK COMP FR</t>
  </si>
  <si>
    <t xml:space="preserve">51315AAL002S</t>
  </si>
  <si>
    <t xml:space="preserve">PIVOT ARM SET R</t>
  </si>
  <si>
    <t xml:space="preserve">51400KWP901S</t>
  </si>
  <si>
    <t xml:space="preserve">CUSHION ASSY R FRR</t>
  </si>
  <si>
    <t xml:space="preserve">51401KSP901S</t>
  </si>
  <si>
    <t xml:space="preserve">FROK SPRING EXT</t>
  </si>
  <si>
    <t xml:space="preserve">51401KST941S</t>
  </si>
  <si>
    <t xml:space="preserve">SPRING FR FORKFR</t>
  </si>
  <si>
    <t xml:space="preserve">51410KSP901S</t>
  </si>
  <si>
    <t xml:space="preserve">FROK PIPE UNI O/M</t>
  </si>
  <si>
    <t xml:space="preserve">51500KWP901S</t>
  </si>
  <si>
    <t xml:space="preserve">CUSHION ASSY L FRR</t>
  </si>
  <si>
    <t xml:space="preserve">52110AAF400S</t>
  </si>
  <si>
    <t xml:space="preserve">SWINGARM COMP RR</t>
  </si>
  <si>
    <t xml:space="preserve">52110KST900S</t>
  </si>
  <si>
    <t xml:space="preserve">SWINGARM COMP RE</t>
  </si>
  <si>
    <t xml:space="preserve">52110KST940S</t>
  </si>
  <si>
    <t xml:space="preserve">SWINGARAM COMP.RI</t>
  </si>
  <si>
    <t xml:space="preserve">52147AAF400S</t>
  </si>
  <si>
    <t xml:space="preserve">RUBBER BUSH SWING</t>
  </si>
  <si>
    <t xml:space="preserve">40169390</t>
  </si>
  <si>
    <t xml:space="preserve">52147KTC900S</t>
  </si>
  <si>
    <t xml:space="preserve">SUP SPL SUSPENSION</t>
  </si>
  <si>
    <t xml:space="preserve">52170KST940S</t>
  </si>
  <si>
    <t xml:space="preserve">SLIDER CHAIN*</t>
  </si>
  <si>
    <t xml:space="preserve">52170KTR900S</t>
  </si>
  <si>
    <t xml:space="preserve">SLIDER. CHAIN*</t>
  </si>
  <si>
    <t xml:space="preserve">52181001300S</t>
  </si>
  <si>
    <t xml:space="preserve">HH SUSPENSION BUSI</t>
  </si>
  <si>
    <t xml:space="preserve">52400KCC871S</t>
  </si>
  <si>
    <t xml:space="preserve">CUSHION ASSY L FR</t>
  </si>
  <si>
    <t xml:space="preserve">52400KCC905ZB</t>
  </si>
  <si>
    <t xml:space="preserve">SHOKER ASSY SPL BL</t>
  </si>
  <si>
    <t xml:space="preserve">52400KST951ZA</t>
  </si>
  <si>
    <t xml:space="preserve">SHOCKER CD DLX</t>
  </si>
  <si>
    <t xml:space="preserve">52400KTR841S</t>
  </si>
  <si>
    <t xml:space="preserve">GRM SHOCKER RED</t>
  </si>
  <si>
    <t xml:space="preserve">52400KWP900S</t>
  </si>
  <si>
    <t xml:space="preserve">CUSHION ASSY RE AR</t>
  </si>
  <si>
    <t xml:space="preserve">53100AAC231S</t>
  </si>
  <si>
    <t xml:space="preserve">PIPE STRG HAN DLE</t>
  </si>
  <si>
    <t xml:space="preserve">53100KCC710S</t>
  </si>
  <si>
    <t xml:space="preserve">HANDLE SPL PLUS</t>
  </si>
  <si>
    <t xml:space="preserve">53100KTC900S</t>
  </si>
  <si>
    <t xml:space="preserve">HANDLE BAR SUP SPL</t>
  </si>
  <si>
    <t xml:space="preserve">53140AAC000S</t>
  </si>
  <si>
    <t xml:space="preserve">GRIP COM P THROTT</t>
  </si>
  <si>
    <t xml:space="preserve">53140KCC900S</t>
  </si>
  <si>
    <t xml:space="preserve">GRIP COMP R.HANDLE</t>
  </si>
  <si>
    <t xml:space="preserve">53140KFN850S</t>
  </si>
  <si>
    <t xml:space="preserve">GRIP COMP THROTTLI</t>
  </si>
  <si>
    <t xml:space="preserve">53140KTP900S</t>
  </si>
  <si>
    <t xml:space="preserve">GRIP COMP THROTT L</t>
  </si>
  <si>
    <t xml:space="preserve">53140KTRA20S</t>
  </si>
  <si>
    <t xml:space="preserve">GRIP COMP R</t>
  </si>
  <si>
    <t xml:space="preserve">53140KWA830S</t>
  </si>
  <si>
    <t xml:space="preserve">GRIP COMP THROT</t>
  </si>
  <si>
    <t xml:space="preserve">53166AAC000S</t>
  </si>
  <si>
    <t xml:space="preserve">GRIP L HANDL</t>
  </si>
  <si>
    <t xml:space="preserve">53166KFN850S</t>
  </si>
  <si>
    <t xml:space="preserve">GRIP L HAN DEL</t>
  </si>
  <si>
    <t xml:space="preserve">53166KTP900S</t>
  </si>
  <si>
    <t xml:space="preserve">PART PLE</t>
  </si>
  <si>
    <t xml:space="preserve">53166KTRA20S</t>
  </si>
  <si>
    <t xml:space="preserve">GRIP L HAN DLE</t>
  </si>
  <si>
    <t xml:space="preserve">53166KWA830S</t>
  </si>
  <si>
    <t xml:space="preserve">GRIP L HAN L</t>
  </si>
  <si>
    <t xml:space="preserve">53166KY0750S</t>
  </si>
  <si>
    <t xml:space="preserve">GRIP L HANDEL</t>
  </si>
  <si>
    <t xml:space="preserve">53168AAW000S</t>
  </si>
  <si>
    <t xml:space="preserve">HOUSING UND THROT</t>
  </si>
  <si>
    <t xml:space="preserve">53168KTP900S</t>
  </si>
  <si>
    <t xml:space="preserve">53171KCC900S</t>
  </si>
  <si>
    <t xml:space="preserve">COVER R.HANDLE LEV</t>
  </si>
  <si>
    <t xml:space="preserve">53172AAL100S</t>
  </si>
  <si>
    <t xml:space="preserve">BRKT HANDLE</t>
  </si>
  <si>
    <t xml:space="preserve">53172KCC900S</t>
  </si>
  <si>
    <t xml:space="preserve">COVER L.H LEVER</t>
  </si>
  <si>
    <t xml:space="preserve">53172KTC920S</t>
  </si>
  <si>
    <t xml:space="preserve">GMR CLU YOKE</t>
  </si>
  <si>
    <t xml:space="preserve">53173KTRA20S</t>
  </si>
  <si>
    <t xml:space="preserve">BRKT R HNDL LEVER</t>
  </si>
  <si>
    <t xml:space="preserve">53175KZN910S</t>
  </si>
  <si>
    <t xml:space="preserve">LEVER R STRG HANDL</t>
  </si>
  <si>
    <t xml:space="preserve">53178AAFH00S</t>
  </si>
  <si>
    <t xml:space="preserve">CLUTCH LEVER LH</t>
  </si>
  <si>
    <t xml:space="preserve">53178AAL100S</t>
  </si>
  <si>
    <t xml:space="preserve">LEVER L HANDLE</t>
  </si>
  <si>
    <t xml:space="preserve">53178KFN850S</t>
  </si>
  <si>
    <t xml:space="preserve">CLUTCH LEVER CBZ</t>
  </si>
  <si>
    <t xml:space="preserve">53178KWP910S</t>
  </si>
  <si>
    <t xml:space="preserve">LEVER L STRG HANDL</t>
  </si>
  <si>
    <t xml:space="preserve">53200KCC690S</t>
  </si>
  <si>
    <t xml:space="preserve">SPL T STUMP</t>
  </si>
  <si>
    <t xml:space="preserve">53200KST950S</t>
  </si>
  <si>
    <t xml:space="preserve">T FORK CD DLX</t>
  </si>
  <si>
    <t xml:space="preserve">53200KTRA20S</t>
  </si>
  <si>
    <t xml:space="preserve">GLM T FORK DIG</t>
  </si>
  <si>
    <t xml:space="preserve">61102KTC900S</t>
  </si>
  <si>
    <t xml:space="preserve">SUP SPL MUD STAY</t>
  </si>
  <si>
    <t xml:space="preserve">61102KWA910S</t>
  </si>
  <si>
    <t xml:space="preserve">PASS PRO PLATE FR F</t>
  </si>
  <si>
    <t xml:space="preserve">61103KST940S</t>
  </si>
  <si>
    <t xml:space="preserve">COLLAR FRONT. FENC</t>
  </si>
  <si>
    <t xml:space="preserve">73181900</t>
  </si>
  <si>
    <t xml:space="preserve">61104KTR940S</t>
  </si>
  <si>
    <t xml:space="preserve">BRK FR FENDER L</t>
  </si>
  <si>
    <t xml:space="preserve">61311AAC200S</t>
  </si>
  <si>
    <t xml:space="preserve">STAY.FR VISOR</t>
  </si>
  <si>
    <t xml:space="preserve">61311KCC870S</t>
  </si>
  <si>
    <t xml:space="preserve">STAY HEAD LIGHT BR</t>
  </si>
  <si>
    <t xml:space="preserve">61311KST950S</t>
  </si>
  <si>
    <t xml:space="preserve">CD DLX HL STAY</t>
  </si>
  <si>
    <t xml:space="preserve">61311KWH970S</t>
  </si>
  <si>
    <t xml:space="preserve">SPL PRO H/L STAY</t>
  </si>
  <si>
    <t xml:space="preserve">64310AAC800S</t>
  </si>
  <si>
    <t xml:space="preserve">NUMBER PLATE FRON</t>
  </si>
  <si>
    <t xml:space="preserve">83100090</t>
  </si>
  <si>
    <t xml:space="preserve">64311KCC860S</t>
  </si>
  <si>
    <t xml:space="preserve">BKT COMP FR NO PLA</t>
  </si>
  <si>
    <t xml:space="preserve">64311KST950S</t>
  </si>
  <si>
    <t xml:space="preserve">BRK T COMP NO PLAT</t>
  </si>
  <si>
    <t xml:space="preserve">64315AAC220S</t>
  </si>
  <si>
    <t xml:space="preserve">STAY FR NO PLATE</t>
  </si>
  <si>
    <t xml:space="preserve">77200AAD300S</t>
  </si>
  <si>
    <t xml:space="preserve">SEAT ASSY DBLE</t>
  </si>
  <si>
    <t xml:space="preserve">77200KCC900S</t>
  </si>
  <si>
    <t xml:space="preserve">SEAT ASSY DOUBLE</t>
  </si>
  <si>
    <t xml:space="preserve">77200KTRA20S</t>
  </si>
  <si>
    <t xml:space="preserve">DOUBLE SEAT ASSY</t>
  </si>
  <si>
    <t xml:space="preserve">77200KWA830S</t>
  </si>
  <si>
    <t xml:space="preserve">SEAT ASSY DO UBLE</t>
  </si>
  <si>
    <t xml:space="preserve">77220KY6000S</t>
  </si>
  <si>
    <t xml:space="preserve">PASS SET LOCK</t>
  </si>
  <si>
    <t xml:space="preserve">77267KTR900S</t>
  </si>
  <si>
    <t xml:space="preserve">RUBBER COWL</t>
  </si>
  <si>
    <t xml:space="preserve">80102KCC900S</t>
  </si>
  <si>
    <t xml:space="preserve">BASE TAIL LIGHT</t>
  </si>
  <si>
    <t xml:space="preserve">85122010</t>
  </si>
  <si>
    <t xml:space="preserve">80151KTRA20S</t>
  </si>
  <si>
    <t xml:space="preserve">PLATE RR WINKER</t>
  </si>
  <si>
    <t xml:space="preserve">83402AAC220S</t>
  </si>
  <si>
    <t xml:space="preserve">PANNEL IN NER</t>
  </si>
  <si>
    <t xml:space="preserve">84701AAC800S</t>
  </si>
  <si>
    <t xml:space="preserve">NUMBER PLATE REAR</t>
  </si>
  <si>
    <t xml:space="preserve">84701KCC710S</t>
  </si>
  <si>
    <t xml:space="preserve">BRACKET NUM PLATE</t>
  </si>
  <si>
    <t xml:space="preserve">90102KVN900S</t>
  </si>
  <si>
    <t xml:space="preserve">BOLT SP.FLANGE SOC</t>
  </si>
  <si>
    <t xml:space="preserve">73181500</t>
  </si>
  <si>
    <t xml:space="preserve">90123KST941S</t>
  </si>
  <si>
    <t xml:space="preserve">BOLT A FRONT FOR K</t>
  </si>
  <si>
    <t xml:space="preserve">90304438000S</t>
  </si>
  <si>
    <t xml:space="preserve">NUT HEX C P</t>
  </si>
  <si>
    <t xml:space="preserve">73181600</t>
  </si>
  <si>
    <t xml:space="preserve">90304KPH900S</t>
  </si>
  <si>
    <t xml:space="preserve">NUT HEX CAP</t>
  </si>
  <si>
    <t xml:space="preserve">90306KST942S</t>
  </si>
  <si>
    <t xml:space="preserve">NUT FLUNGE PT</t>
  </si>
  <si>
    <t xml:space="preserve">91001GCC000S</t>
  </si>
  <si>
    <t xml:space="preserve">BRG.BALL RADIAL 620</t>
  </si>
  <si>
    <t xml:space="preserve">84821030</t>
  </si>
  <si>
    <t xml:space="preserve">91001GF6000S</t>
  </si>
  <si>
    <t xml:space="preserve">6304</t>
  </si>
  <si>
    <t xml:space="preserve">91001KTC900S</t>
  </si>
  <si>
    <t xml:space="preserve">ING BEARING SUP SPL</t>
  </si>
  <si>
    <t xml:space="preserve">91001KTN900S</t>
  </si>
  <si>
    <t xml:space="preserve">BALL BRG EXT</t>
  </si>
  <si>
    <t xml:space="preserve">84825011</t>
  </si>
  <si>
    <t xml:space="preserve">91002GCC000S</t>
  </si>
  <si>
    <t xml:space="preserve">BRG BALL RADIAL</t>
  </si>
  <si>
    <t xml:space="preserve">84829900</t>
  </si>
  <si>
    <t xml:space="preserve">91002KSP911S</t>
  </si>
  <si>
    <t xml:space="preserve">EXT BALL BERAING</t>
  </si>
  <si>
    <t xml:space="preserve">91002KTC901S</t>
  </si>
  <si>
    <t xml:space="preserve">BALL BEARING GLM</t>
  </si>
  <si>
    <t xml:space="preserve">91004AAL00099</t>
  </si>
  <si>
    <t xml:space="preserve">BRG BALL RADIAL 620</t>
  </si>
  <si>
    <t xml:space="preserve">84821020</t>
  </si>
  <si>
    <t xml:space="preserve">91007KPH901S</t>
  </si>
  <si>
    <t xml:space="preserve">BRG BALL</t>
  </si>
  <si>
    <t xml:space="preserve">91201GBG900S</t>
  </si>
  <si>
    <t xml:space="preserve">OIL SEAL PRO MAG</t>
  </si>
  <si>
    <t xml:space="preserve">40169330</t>
  </si>
  <si>
    <t xml:space="preserve">91202302010S</t>
  </si>
  <si>
    <t xml:space="preserve">OIL SEAL KICK ROD HI</t>
  </si>
  <si>
    <t xml:space="preserve">91202KTL741S</t>
  </si>
  <si>
    <t xml:space="preserve">OIL SEAL 19*30*5</t>
  </si>
  <si>
    <t xml:space="preserve">91202KTP900S</t>
  </si>
  <si>
    <t xml:space="preserve">O ILSEAL</t>
  </si>
  <si>
    <t xml:space="preserve">91208KB4670S</t>
  </si>
  <si>
    <t xml:space="preserve">OIL SEAL GEAR SHAFT</t>
  </si>
  <si>
    <t xml:space="preserve">91255GAA003RS</t>
  </si>
  <si>
    <t xml:space="preserve">FORK OIL SEAL CBZ</t>
  </si>
  <si>
    <t xml:space="preserve">91303719000S</t>
  </si>
  <si>
    <t xml:space="preserve">CLULIVER O-RING ALL</t>
  </si>
  <si>
    <t xml:space="preserve">40169320</t>
  </si>
  <si>
    <t xml:space="preserve">957010603000S</t>
  </si>
  <si>
    <t xml:space="preserve">BOLT FLANGE 6 X 30</t>
  </si>
  <si>
    <t xml:space="preserve">957010603200S</t>
  </si>
  <si>
    <t xml:space="preserve">KICK ROD BOLT</t>
  </si>
  <si>
    <t xml:space="preserve">961006001000S</t>
  </si>
  <si>
    <t xml:space="preserve">BRG BALL RADIAL6001</t>
  </si>
  <si>
    <t xml:space="preserve">961006201000S</t>
  </si>
  <si>
    <t xml:space="preserve">6201 BRG BALL RADIA</t>
  </si>
  <si>
    <t xml:space="preserve">961406301010S</t>
  </si>
  <si>
    <t xml:space="preserve">6301</t>
  </si>
  <si>
    <t xml:space="preserve">961506203010S</t>
  </si>
  <si>
    <t xml:space="preserve">BEARING BALL RADIAL</t>
  </si>
  <si>
    <t xml:space="preserve">98200315000S</t>
  </si>
  <si>
    <t xml:space="preserve">BLADE FUSE 15A</t>
  </si>
  <si>
    <t xml:space="preserve">98200320000S</t>
  </si>
  <si>
    <t xml:space="preserve">BLADE FUSE 20A</t>
  </si>
  <si>
    <t xml:space="preserve">85361010</t>
  </si>
  <si>
    <t xml:space="preserve">K06431KTNA701</t>
  </si>
  <si>
    <t xml:space="preserve">KIT BRAKE SHOE</t>
  </si>
  <si>
    <t xml:space="preserve">K10111HF100DS</t>
  </si>
  <si>
    <t xml:space="preserve">KIT GASKET</t>
  </si>
  <si>
    <t xml:space="preserve">84841090</t>
  </si>
  <si>
    <t xml:space="preserve">K10122KTCE900</t>
  </si>
  <si>
    <t xml:space="preserve">SUPER SPL PACKING</t>
  </si>
  <si>
    <t xml:space="preserve">K10123HF100DS</t>
  </si>
  <si>
    <t xml:space="preserve">KIT CAP TAPPET</t>
  </si>
  <si>
    <t xml:space="preserve">76161000</t>
  </si>
  <si>
    <t xml:space="preserve">K12121AAEE300</t>
  </si>
  <si>
    <t xml:space="preserve">KIT,CYLINDER**</t>
  </si>
  <si>
    <t xml:space="preserve">K12121AAWA000</t>
  </si>
  <si>
    <t xml:space="preserve">CYLINDER STD KIT</t>
  </si>
  <si>
    <t xml:space="preserve">84099191</t>
  </si>
  <si>
    <t xml:space="preserve">K12121ACKA000</t>
  </si>
  <si>
    <t xml:space="preserve">KIT, CYLINDER.</t>
  </si>
  <si>
    <t xml:space="preserve">84099112</t>
  </si>
  <si>
    <t xml:space="preserve">K12121KSTG940</t>
  </si>
  <si>
    <t xml:space="preserve">KIT CYLINDER</t>
  </si>
  <si>
    <t xml:space="preserve">K12121KZAAW00</t>
  </si>
  <si>
    <t xml:space="preserve">KIT CYLI NDER</t>
  </si>
  <si>
    <t xml:space="preserve">K12121KZNA900</t>
  </si>
  <si>
    <t xml:space="preserve">KT CYLINDER</t>
  </si>
  <si>
    <t xml:space="preserve">K12913HF100DS</t>
  </si>
  <si>
    <t xml:space="preserve">CYLINDER HEAD O RIN</t>
  </si>
  <si>
    <t xml:space="preserve">K13132KCCA900</t>
  </si>
  <si>
    <t xml:space="preserve">CONNECTING ROD SP</t>
  </si>
  <si>
    <t xml:space="preserve">K13132KTCE900</t>
  </si>
  <si>
    <t xml:space="preserve">CON ROD KIT</t>
  </si>
  <si>
    <t xml:space="preserve">K14144AACK000</t>
  </si>
  <si>
    <t xml:space="preserve">KIT CAM CHAIN **</t>
  </si>
  <si>
    <t xml:space="preserve">K14144AADA000</t>
  </si>
  <si>
    <t xml:space="preserve">KIT HALF CAM CHAIN</t>
  </si>
  <si>
    <t xml:space="preserve">K14144KTCE900</t>
  </si>
  <si>
    <t xml:space="preserve">KIT CAM CHAIN*-</t>
  </si>
  <si>
    <t xml:space="preserve">K14145HF100DS</t>
  </si>
  <si>
    <t xml:space="preserve">PUSH ROD KIT</t>
  </si>
  <si>
    <t xml:space="preserve">K14145KTCA000</t>
  </si>
  <si>
    <t xml:space="preserve">GUIDE &amp;TENSION ASS</t>
  </si>
  <si>
    <t xml:space="preserve">K14147ABLA000</t>
  </si>
  <si>
    <t xml:space="preserve">VALVE KIT-MAESTRO</t>
  </si>
  <si>
    <t xml:space="preserve">84099111</t>
  </si>
  <si>
    <t xml:space="preserve">K15156HF100DS</t>
  </si>
  <si>
    <t xml:space="preserve">KIT OIL GAUGE</t>
  </si>
  <si>
    <t xml:space="preserve">K17172KCC900S</t>
  </si>
  <si>
    <t xml:space="preserve">KIT ELEMENT AIR /C</t>
  </si>
  <si>
    <t xml:space="preserve">84213100</t>
  </si>
  <si>
    <t xml:space="preserve">K22221AAN125S</t>
  </si>
  <si>
    <t xml:space="preserve">KIT CLUTCH PLATE 3 L</t>
  </si>
  <si>
    <t xml:space="preserve">K22222HF100DS</t>
  </si>
  <si>
    <t xml:space="preserve">CLU TCH ASSY</t>
  </si>
  <si>
    <t xml:space="preserve">84836090</t>
  </si>
  <si>
    <t xml:space="preserve">K22222KTCE900</t>
  </si>
  <si>
    <t xml:space="preserve">DIC CLU FRICTION</t>
  </si>
  <si>
    <t xml:space="preserve">K22222KTRK000</t>
  </si>
  <si>
    <t xml:space="preserve">CLUTCH ASSEMBLY KI</t>
  </si>
  <si>
    <t xml:space="preserve">K22228HF100DS</t>
  </si>
  <si>
    <t xml:space="preserve">CL CAM LEVER &amp; ORIN</t>
  </si>
  <si>
    <t xml:space="preserve">K28281KWAG940</t>
  </si>
  <si>
    <t xml:space="preserve">KIT CAM GUAID</t>
  </si>
  <si>
    <t xml:space="preserve">K31913HF100DS</t>
  </si>
  <si>
    <t xml:space="preserve">KIT O-RING</t>
  </si>
  <si>
    <t xml:space="preserve">K40405KCCA901</t>
  </si>
  <si>
    <t xml:space="preserve">CHAIN COVER KIT SPL</t>
  </si>
  <si>
    <t xml:space="preserve">K40405KWAG93</t>
  </si>
  <si>
    <t xml:space="preserve">CHAIN CO VER KIT</t>
  </si>
  <si>
    <t xml:space="preserve">K41412AAFF400</t>
  </si>
  <si>
    <t xml:space="preserve">KIT CHAIN SPOCKET</t>
  </si>
  <si>
    <t xml:space="preserve">K41412AANNB00</t>
  </si>
  <si>
    <t xml:space="preserve">CHAINSPRO CKETKIT</t>
  </si>
  <si>
    <t xml:space="preserve">K42423KCCZ600</t>
  </si>
  <si>
    <t xml:space="preserve">KIT HALF-AXLE NUT</t>
  </si>
  <si>
    <t xml:space="preserve">K42423KSTG940</t>
  </si>
  <si>
    <t xml:space="preserve">CD DLX OFF AXEL WIT</t>
  </si>
  <si>
    <t xml:space="preserve">K44448KTPF900</t>
  </si>
  <si>
    <t xml:space="preserve">PINION SPDM KIT</t>
  </si>
  <si>
    <t xml:space="preserve">K44972P40900S</t>
  </si>
  <si>
    <t xml:space="preserve">SPOKES SPL FRONT</t>
  </si>
  <si>
    <t xml:space="preserve">K50505ACKH700</t>
  </si>
  <si>
    <t xml:space="preserve">KIT STAND SIDE</t>
  </si>
  <si>
    <t xml:space="preserve">K50506KCCA900</t>
  </si>
  <si>
    <t xml:space="preserve">KIT ST EP</t>
  </si>
  <si>
    <t xml:space="preserve">KITSTEP KIT</t>
  </si>
  <si>
    <t xml:space="preserve">K50506KTCF900</t>
  </si>
  <si>
    <t xml:space="preserve">KIT STEP</t>
  </si>
  <si>
    <t xml:space="preserve">KIT STEP KTCF900RS</t>
  </si>
  <si>
    <t xml:space="preserve">K50507KCCA900</t>
  </si>
  <si>
    <t xml:space="preserve">KIT STEPKIT</t>
  </si>
  <si>
    <t xml:space="preserve">K51514KTPF900</t>
  </si>
  <si>
    <t xml:space="preserve">KIT CUSHION BUSH</t>
  </si>
  <si>
    <t xml:space="preserve">40169950</t>
  </si>
  <si>
    <t xml:space="preserve">K90907HF100DS</t>
  </si>
  <si>
    <t xml:space="preserve">KIT DOWEL PIN</t>
  </si>
  <si>
    <t xml:space="preserve">K91902HF100DS</t>
  </si>
  <si>
    <t xml:space="preserve">HH TAPET ADJUSTER</t>
  </si>
  <si>
    <t xml:space="preserve">K91910KTCE900</t>
  </si>
  <si>
    <t xml:space="preserve">KIT ENGINE</t>
  </si>
  <si>
    <t xml:space="preserve">K96961HF100DS</t>
  </si>
  <si>
    <t xml:space="preserve">KIT ENGINE BEARING</t>
  </si>
  <si>
    <t xml:space="preserve">K96961HF100FR</t>
  </si>
  <si>
    <t xml:space="preserve">KIT WHEEL BEARING</t>
  </si>
  <si>
    <t xml:space="preserve">TOTAL</t>
  </si>
  <si>
    <t xml:space="preserve">237 line items</t>
  </si>
  <si>
    <t xml:space="preserve">—</t>
  </si>
  <si>
    <t xml:space="preserve">Column P re-derives the true M.R.P from the printed Amount: Amount x 1.18 / Qty. On 12 lines it differs from column E because the invoice displays M.R.P rounded to whole rupees - Sn 4 (13.60 shown as 14), 26 (33.75), 27 (27.50), 35 (73.50), 50 (82.50), 66 (13.50), 125 (15.50), 141 (11.50), 149 (14.40), 159 (23.60), plus 153 and 199 which differ by one paisa. Use column P for any price calculation.</t>
  </si>
  <si>
    <t xml:space="preserve">Columns R and T recheck the printed Taxable Value and CGST. Differences are only ever 0.01 and only at a half-paisa boundary, because the seller's software rounds x.xx5 down while Excel rounds it up. Nothing larger than 0.01 appears anywhere in the 237 rows.</t>
  </si>
  <si>
    <t xml:space="preserve">VERIFICATION STATUS: the Verification column says whether that row was confirmed field-by-field against a high-resolution image of the invoice page. Pages 1 and 2 are confirmed. Rows on pages 3-8 are shaded amber and NOT yet verified - treat their HSN codes and item names as provisional.</t>
  </si>
  <si>
    <t xml:space="preserve">Corrections applied from verification so far. Page 1: none needed, all 34 rows correct. Page 2: Sn 52 HSN 87141090 -&gt; 40169990 and name BOSH BODY PIN -&gt; BOSH BOOT PIN; Sn 53 HSN 40169990 -&gt; 73202000; Sn 54 HSN 73202000 -&gt; 87141090 (the HSN column had slipped down one row across Sn 52-54); Sn 66 code 45541AAF400S -&gt; 45451AAF400S. Page 3: Sn 98 HSN 40169990 -&gt; 40169390. Page 4: Sn 113 code 53140KCT900S -&gt; 53140KFN850S. Page 5 (MAJOR): the numeric block for Sn 156-166 was shifted up one row - each item held the NEXT item's MRP, Qty, Rate, Amount, Taxable and tax. All 11 rows realigned (77 cells). Sn 165 code 90305KST942S -&gt; 90306KST942S and name NUT FLANGE PT -&gt; NUT FLUNGE PT. Sn 166 previously carried a value reconstructed from the page balances; that reconstruction was an artefact of the shift and has been replaced with the printed figures (MRP 155, Qty 3, Amount 394.07). Page 6: Sn 171 code 91001KSP911S -&gt; 91002KSP911S; Sn 181 name OIL SEAL GEAR SHAFT -&gt; CLULIVER O-RING ALL and HSN 40169330 -&gt; 40169320; Sn 184 code 961006001009S -&gt; 961006001000S; Sn 196 HSN 84099191 -&gt; 84099112; Sn 197 name KIT, CYLINDER -&gt; KIT CYLINDER. Page 7: no substantive errors; Sn 205 name corrected to KIT CAM CHAIN*-. Page 8: none needed, all 5 rows correct. ALL 237 ROWS ARE NOW CONFIRMED FIELD-BY-FIELD AGAINST LEGIBLE IMAGES OF ALL EIGHT PAGES. Ten corrections were needed in total. The three cells previously inferred rather than read (Sn 182 MRP/Qty, Sn 215 Qty, Sn 166) are all confirmed or corrected. A re-check at 500 DPI independently reconfirmed Sn 52 as BOSH BOOT PIN and Sn 165 as 90306KST942S.</t>
  </si>
  <si>
    <t xml:space="preserve">The invoice lists items in ascending item-code order, which is an independent check on the Code column. All 237 codes now sort correctly except Sn 171 - see its Note.</t>
  </si>
  <si>
    <t xml:space="preserve">NOTE ON THE PAGE BALANCES SHEET: a whole-block numeric shift like the one found on page 5 does NOT disturb any page balance, because the same numbers are still present - only their assignment to items changes. Those green ticks were therefore never sufficient on their own. Every page has since been confirmed against a legible image, which is what actually settles it.</t>
  </si>
  <si>
    <t xml:space="preserve">INVENTORY NOTE: use the orange 'Cost per unit' column for stock valuation, NOT the Rate column. Rate is the seller's list price before discount and before the GST split; the cost you actually bear per unit is the line's taxable amount divided by quantity. Posting Rate as cost overstates stock value substantially.</t>
  </si>
  <si>
    <t xml:space="preserve">Page 'Closing Balance' reconciliation</t>
  </si>
  <si>
    <t xml:space="preserve">Every page of this invoice carries the running total forward. These are the eight checkpoints the extraction was validated against.</t>
  </si>
  <si>
    <t xml:space="preserve">Rows (Sn)</t>
  </si>
  <si>
    <t xml:space="preserve">Qty printed</t>
  </si>
  <si>
    <t xml:space="preserve">Qty calc</t>
  </si>
  <si>
    <t xml:space="preserve">Taxable printed</t>
  </si>
  <si>
    <t xml:space="preserve">Taxable calc</t>
  </si>
  <si>
    <t xml:space="preserve">CGST printed</t>
  </si>
  <si>
    <t xml:space="preserve">CGST calc</t>
  </si>
  <si>
    <t xml:space="preserve">1</t>
  </si>
  <si>
    <t xml:space="preserve">1 - 34</t>
  </si>
  <si>
    <t xml:space="preserve">2</t>
  </si>
  <si>
    <t xml:space="preserve">1 - 67</t>
  </si>
  <si>
    <t xml:space="preserve">3</t>
  </si>
  <si>
    <t xml:space="preserve">1 - 100</t>
  </si>
  <si>
    <t xml:space="preserve">4</t>
  </si>
  <si>
    <t xml:space="preserve">1 - 133</t>
  </si>
  <si>
    <t xml:space="preserve">5</t>
  </si>
  <si>
    <t xml:space="preserve">1 - 166</t>
  </si>
  <si>
    <t xml:space="preserve">6</t>
  </si>
  <si>
    <t xml:space="preserve">1 - 199</t>
  </si>
  <si>
    <t xml:space="preserve">7</t>
  </si>
  <si>
    <t xml:space="preserve">1 - 232</t>
  </si>
  <si>
    <t xml:space="preserve">8 (Total)</t>
  </si>
  <si>
    <t xml:space="preserve">1 - 237</t>
  </si>
  <si>
    <t xml:space="preserve">Quantity: exact on all eight checkpoints (Diff 0). CGST: exact on all eight checkpoints (Diff 0.00).</t>
  </si>
  <si>
    <t xml:space="preserve">Taxable Value drifts by at most 0.04 across the whole invoice. That is the seller's half-paisa rounding accumulating, not a transcription gap - the CGST column is derived from the same taxable figures and it lands exactly, which it could not do if a row had been misread.</t>
  </si>
  <si>
    <t xml:space="preserve">Because Rate = M.R.P / 1.18 and Amount = M.R.P x Qty / 1.18 throughout, an error in any single M.R.P or Qty would break the quantity or CGST checkpoint for that page. None break.</t>
  </si>
  <si>
    <t xml:space="preserve">Summary by HSN code (all lines taxed at 18%: CGST 9% + SGST 9%)</t>
  </si>
  <si>
    <t xml:space="preserve">HSN Code</t>
  </si>
  <si>
    <t xml:space="preserve">Lines</t>
  </si>
  <si>
    <t xml:space="preserve">CGST</t>
  </si>
  <si>
    <t xml:space="preserve">SGST</t>
  </si>
  <si>
    <t xml:space="preserve">Total incl. GST</t>
  </si>
  <si>
    <t xml:space="preserve">Totals here must agree with the Invoice Summary sheet: 2,530 units and 254,833.90 taxable.</t>
  </si>
  <si>
    <t xml:space="preserve">TAX INVOICE</t>
  </si>
  <si>
    <t xml:space="preserve">Seller</t>
  </si>
  <si>
    <t xml:space="preserve">KOKILA ENTERPRISES</t>
  </si>
  <si>
    <t xml:space="preserve">Seller Address</t>
  </si>
  <si>
    <t xml:space="preserve">Aswaraopate Road, Jangareddygudem, West Godavari Dist, Andhra Pradesh - 534447</t>
  </si>
  <si>
    <t xml:space="preserve">Seller Phone</t>
  </si>
  <si>
    <t xml:space="preserve">9440248515</t>
  </si>
  <si>
    <t xml:space="preserve">Seller Email</t>
  </si>
  <si>
    <t xml:space="preserve">bhasi.chinny@gmail.c... (truncated on invoice)</t>
  </si>
  <si>
    <t xml:space="preserve">Seller GSTIN</t>
  </si>
  <si>
    <t xml:space="preserve">37ARTPR0091C1ZK</t>
  </si>
  <si>
    <t xml:space="preserve">Tax Payable on Reverse Charge</t>
  </si>
  <si>
    <t xml:space="preserve">(Yes/No field left blank)</t>
  </si>
  <si>
    <t xml:space="preserve">Invoice No.</t>
  </si>
  <si>
    <t xml:space="preserve">9857</t>
  </si>
  <si>
    <t xml:space="preserve">Invoice Date</t>
  </si>
  <si>
    <t xml:space="preserve">27-02-2026</t>
  </si>
  <si>
    <t xml:space="preserve">Sale Type</t>
  </si>
  <si>
    <t xml:space="preserve">CREDIT</t>
  </si>
  <si>
    <t xml:space="preserve">Copy type</t>
  </si>
  <si>
    <t xml:space="preserve">ORIGINAL / DUPLICATE / TRIPLICATE / EXTRA COPY (none ticked)</t>
  </si>
  <si>
    <t xml:space="preserve">Transport / Vehicle No / No of Ctns</t>
  </si>
  <si>
    <t xml:space="preserve">(all blank on invoice)</t>
  </si>
  <si>
    <t xml:space="preserve">Handwritten reference</t>
  </si>
  <si>
    <t xml:space="preserve">129 (circled, top right of page 1)</t>
  </si>
  <si>
    <t xml:space="preserve">Receiver (Billed to)</t>
  </si>
  <si>
    <t xml:space="preserve">M/s. SRI SRI SATYA SAI AUTOMOBILE AGENGY</t>
  </si>
  <si>
    <t xml:space="preserve">Receiver Address</t>
  </si>
  <si>
    <t xml:space="preserve">Railway Station Road, Opp BSNL Telephone Exchange, Tadepalligudem</t>
  </si>
  <si>
    <t xml:space="preserve">Receiver State</t>
  </si>
  <si>
    <t xml:space="preserve">ANDHRA PRADESH</t>
  </si>
  <si>
    <t xml:space="preserve">Receiver GSTIN</t>
  </si>
  <si>
    <t xml:space="preserve">37CUJPG4763K1Z5</t>
  </si>
  <si>
    <t xml:space="preserve">Consignee (Shipped to)</t>
  </si>
  <si>
    <t xml:space="preserve">Same as receiver - M/s. SRI SRI SATYA SAI AUTOMOBILE AGENGY, Tadepalligudem</t>
  </si>
  <si>
    <t xml:space="preserve">Bank</t>
  </si>
  <si>
    <t xml:space="preserve">HDFC BANK, JRG - A/c 50200015539862</t>
  </si>
  <si>
    <t xml:space="preserve">IFSC</t>
  </si>
  <si>
    <t xml:space="preserve">HDFC0003034</t>
  </si>
  <si>
    <t xml:space="preserve">Terms</t>
  </si>
  <si>
    <t xml:space="preserve">Goods once sold cannot be taken back or exchanged.</t>
  </si>
  <si>
    <t xml:space="preserve">TOTALS</t>
  </si>
  <si>
    <t xml:space="preserve">Description</t>
  </si>
  <si>
    <t xml:space="preserve">Printed on Invoice</t>
  </si>
  <si>
    <t xml:space="preserve">Recalculated</t>
  </si>
  <si>
    <t xml:space="preserve">Total Quantity</t>
  </si>
  <si>
    <t xml:space="preserve">Total Amount (pre-discount, incl. tax)</t>
  </si>
  <si>
    <t xml:space="preserve">Discount</t>
  </si>
  <si>
    <t xml:space="preserve">n/a</t>
  </si>
  <si>
    <t xml:space="preserve">Taxable Amount</t>
  </si>
  <si>
    <t xml:space="preserve">Add CGST @ 9%</t>
  </si>
  <si>
    <t xml:space="preserve">Add SGST @ 9%</t>
  </si>
  <si>
    <t xml:space="preserve">PF</t>
  </si>
  <si>
    <t xml:space="preserve">NET AMOUNT</t>
  </si>
  <si>
    <t xml:space="preserve">Amount in words</t>
  </si>
  <si>
    <t xml:space="preserve">Rupees THREE LAKH SEVEN HUNDRED AND FOUR ONLY</t>
  </si>
  <si>
    <t xml:space="preserve">Blue = figure printed on the scanned invoice. Black = recalculated from the Line Items sheet.</t>
  </si>
  <si>
    <t xml:space="preserve">Pricing logic across all 237 lines: Rate = M.R.P / 1.18, Amount = Rate x Qty, Taxable Value = Amount x 80% (a flat 20% discount), then CGST and SGST at 9% each on the taxable value. The M.R.P column on the invoice is displayed rounded to whole rupees, so column P of Line Items shows the true M.R.P.</t>
  </si>
  <si>
    <t xml:space="preserve">254,833.90 + 22,935.05 + 22,935.05 = 300,704.00 exactly - no rounding adjustment was needed on this invoice. The Recalculated column reads 300,703.96 because summing the 237 individually-rounded taxable values lands 0.04 below the seller total; the tax figures themselves match to the paisa.</t>
  </si>
  <si>
    <t xml:space="preserve">Verification: the invoice prints a running Closing Balance on each of its eight pages. Quantity and CGST reconcile exactly at all eight checkpoints; Taxable Value is within 0.04 across the entire document. See the Page Balances sheet.</t>
  </si>
</sst>
</file>

<file path=xl/styles.xml><?xml version="1.0" encoding="utf-8"?>
<styleSheet xmlns="http://schemas.openxmlformats.org/spreadsheetml/2006/main">
  <numFmts count="4">
    <numFmt numFmtId="164" formatCode="General"/>
    <numFmt numFmtId="165" formatCode="#,##0.00"/>
    <numFmt numFmtId="166" formatCode="0.0%"/>
    <numFmt numFmtId="167" formatCode="#,##0"/>
  </numFmts>
  <fonts count="11">
    <font>
      <sz val="11"/>
      <color theme="1"/>
      <name val="Calibri"/>
      <family val="2"/>
      <charset val="1"/>
    </font>
    <font>
      <sz val="10"/>
      <name val="Arial"/>
      <family val="0"/>
    </font>
    <font>
      <sz val="10"/>
      <name val="Arial"/>
      <family val="0"/>
    </font>
    <font>
      <sz val="10"/>
      <name val="Arial"/>
      <family val="0"/>
    </font>
    <font>
      <b val="true"/>
      <sz val="10"/>
      <color rgb="FFFFFFFF"/>
      <name val="Arial"/>
      <family val="0"/>
      <charset val="1"/>
    </font>
    <font>
      <sz val="10"/>
      <name val="Arial"/>
      <family val="0"/>
      <charset val="1"/>
    </font>
    <font>
      <b val="true"/>
      <sz val="10"/>
      <name val="Arial"/>
      <family val="0"/>
      <charset val="1"/>
    </font>
    <font>
      <i val="true"/>
      <sz val="9"/>
      <name val="Arial"/>
      <family val="0"/>
      <charset val="1"/>
    </font>
    <font>
      <i val="true"/>
      <sz val="9"/>
      <color rgb="FFC55A11"/>
      <name val="Arial"/>
      <family val="0"/>
      <charset val="1"/>
    </font>
    <font>
      <b val="true"/>
      <sz val="13"/>
      <color rgb="FF1F3864"/>
      <name val="Arial"/>
      <family val="0"/>
      <charset val="1"/>
    </font>
    <font>
      <sz val="10"/>
      <color rgb="FF0000FF"/>
      <name val="Arial"/>
      <family val="0"/>
      <charset val="1"/>
    </font>
  </fonts>
  <fills count="5">
    <fill>
      <patternFill patternType="none"/>
    </fill>
    <fill>
      <patternFill patternType="gray125"/>
    </fill>
    <fill>
      <patternFill patternType="solid">
        <fgColor rgb="FF1F3864"/>
        <bgColor rgb="FF333333"/>
      </patternFill>
    </fill>
    <fill>
      <patternFill patternType="solid">
        <fgColor rgb="FFC55A11"/>
        <bgColor rgb="FF993300"/>
      </patternFill>
    </fill>
    <fill>
      <patternFill patternType="solid">
        <fgColor rgb="FFFFF2CC"/>
        <bgColor rgb="FFFFFFFF"/>
      </patternFill>
    </fill>
  </fills>
  <borders count="2">
    <border diagonalUp="false" diagonalDown="false">
      <left/>
      <right/>
      <top/>
      <bottom/>
      <diagonal/>
    </border>
    <border diagonalUp="false" diagonalDown="false">
      <left style="thin">
        <color rgb="FFA6A6A6"/>
      </left>
      <right style="thin">
        <color rgb="FFA6A6A6"/>
      </right>
      <top style="thin">
        <color rgb="FFA6A6A6"/>
      </top>
      <bottom style="thin">
        <color rgb="FFA6A6A6"/>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center" vertical="center" textRotation="0" wrapText="true" indent="0" shrinkToFit="false"/>
      <protection locked="true" hidden="false"/>
    </xf>
    <xf numFmtId="164" fontId="4" fillId="3" borderId="1" xfId="0" applyFont="true" applyBorder="true" applyAlignment="true" applyProtection="false">
      <alignment horizontal="center" vertical="center"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4" fontId="6" fillId="4" borderId="1" xfId="0" applyFont="true" applyBorder="true" applyAlignment="false" applyProtection="false">
      <alignment horizontal="general" vertical="bottom" textRotation="0" wrapText="false" indent="0" shrinkToFit="false"/>
      <protection locked="true" hidden="false"/>
    </xf>
    <xf numFmtId="165" fontId="6" fillId="4" borderId="1"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10" fillId="0" borderId="1" xfId="0" applyFont="true" applyBorder="true" applyAlignment="false" applyProtection="false">
      <alignment horizontal="general" vertical="bottom" textRotation="0" wrapText="fals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65" fontId="10" fillId="0" borderId="1" xfId="0" applyFont="true" applyBorder="true" applyAlignment="false" applyProtection="false">
      <alignment horizontal="general" vertical="bottom" textRotation="0" wrapText="false" indent="0" shrinkToFit="false"/>
      <protection locked="true" hidden="false"/>
    </xf>
    <xf numFmtId="167" fontId="6" fillId="4"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4" fillId="2" borderId="1" xfId="0" applyFont="true" applyBorder="true" applyAlignment="true" applyProtection="false">
      <alignment horizontal="center"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66" fontId="10"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C55A11"/>
      <rgbColor rgb="FF666699"/>
      <rgbColor rgb="FFA6A6A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X24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16"/>
    <col collapsed="false" customWidth="true" hidden="false" outlineLevel="0" max="3" min="3" style="0" width="24"/>
    <col collapsed="false" customWidth="true" hidden="false" outlineLevel="0" max="4" min="4" style="0" width="11"/>
    <col collapsed="false" customWidth="true" hidden="false" outlineLevel="0" max="5" min="5" style="0" width="10"/>
    <col collapsed="false" customWidth="true" hidden="false" outlineLevel="0" max="6" min="6" style="0" width="7"/>
    <col collapsed="false" customWidth="true" hidden="false" outlineLevel="0" max="7" min="7" style="0" width="11"/>
    <col collapsed="false" customWidth="true" hidden="false" outlineLevel="0" max="8" min="8" style="0" width="12"/>
    <col collapsed="false" customWidth="true" hidden="false" outlineLevel="0" max="9" min="9" style="0" width="8"/>
    <col collapsed="false" customWidth="true" hidden="false" outlineLevel="0" max="10" min="10" style="0" width="13"/>
    <col collapsed="false" customWidth="true" hidden="false" outlineLevel="0" max="11" min="11" style="0" width="8"/>
    <col collapsed="false" customWidth="true" hidden="false" outlineLevel="0" max="12" min="12" style="0" width="12"/>
    <col collapsed="false" customWidth="true" hidden="false" outlineLevel="0" max="13" min="13" style="0" width="8"/>
    <col collapsed="false" customWidth="true" hidden="false" outlineLevel="0" max="14" min="14" style="0" width="12"/>
    <col collapsed="false" customWidth="true" hidden="false" outlineLevel="0" max="15" min="15" style="0" width="17"/>
    <col collapsed="false" customWidth="true" hidden="false" outlineLevel="0" max="16" min="16" style="0" width="20"/>
    <col collapsed="false" customWidth="true" hidden="false" outlineLevel="0" max="17" min="17" style="0" width="17"/>
    <col collapsed="false" customWidth="true" hidden="false" outlineLevel="0" max="18" min="18" style="0" width="9"/>
    <col collapsed="false" customWidth="true" hidden="false" outlineLevel="0" max="19" min="19" style="0" width="17"/>
    <col collapsed="false" customWidth="true" hidden="false" outlineLevel="0" max="20" min="20" style="0" width="9"/>
    <col collapsed="false" customWidth="true" hidden="false" outlineLevel="0" max="21" min="21" style="0" width="7"/>
    <col collapsed="false" customWidth="true" hidden="false" outlineLevel="0" max="22" min="22" style="0" width="18"/>
    <col collapsed="false" customWidth="true" hidden="false" outlineLevel="0" max="23" min="23" style="0" width="52"/>
    <col collapsed="false" customWidth="true" hidden="false" outlineLevel="0" max="24" min="24" style="0" width="24"/>
  </cols>
  <sheetData>
    <row r="1" customFormat="false" ht="43.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17</v>
      </c>
      <c r="U1" s="1" t="s">
        <v>19</v>
      </c>
      <c r="V1" s="1" t="s">
        <v>20</v>
      </c>
      <c r="W1" s="1" t="s">
        <v>21</v>
      </c>
      <c r="X1" s="2" t="s">
        <v>22</v>
      </c>
    </row>
    <row r="2" customFormat="false" ht="15" hidden="false" customHeight="false" outlineLevel="0" collapsed="false">
      <c r="A2" s="3" t="n">
        <v>1</v>
      </c>
      <c r="B2" s="3" t="s">
        <v>23</v>
      </c>
      <c r="C2" s="3" t="s">
        <v>24</v>
      </c>
      <c r="D2" s="4" t="s">
        <v>25</v>
      </c>
      <c r="E2" s="5" t="n">
        <v>45</v>
      </c>
      <c r="F2" s="4" t="n">
        <v>10</v>
      </c>
      <c r="G2" s="5" t="n">
        <v>38.14</v>
      </c>
      <c r="H2" s="5" t="n">
        <v>381.36</v>
      </c>
      <c r="I2" s="6" t="n">
        <v>0.2</v>
      </c>
      <c r="J2" s="5" t="n">
        <v>305.08</v>
      </c>
      <c r="K2" s="6" t="n">
        <v>0.09</v>
      </c>
      <c r="L2" s="5" t="n">
        <v>27.46</v>
      </c>
      <c r="M2" s="6" t="n">
        <v>0.09</v>
      </c>
      <c r="N2" s="5" t="n">
        <v>27.46</v>
      </c>
      <c r="O2" s="5" t="n">
        <f aca="false">J2+L2+N2</f>
        <v>360</v>
      </c>
      <c r="P2" s="5" t="n">
        <f aca="false">ROUND(H2*1.18/F2,2)</f>
        <v>45</v>
      </c>
      <c r="Q2" s="5" t="n">
        <f aca="false">ROUND(H2*0.8,2)</f>
        <v>305.09</v>
      </c>
      <c r="R2" s="5" t="n">
        <f aca="false">ROUND(Q2-J2,2)</f>
        <v>0.01</v>
      </c>
      <c r="S2" s="5" t="n">
        <f aca="false">ROUND(J2*9%,2)</f>
        <v>27.46</v>
      </c>
      <c r="T2" s="5" t="n">
        <f aca="false">ROUND(S2-L2,2)</f>
        <v>0</v>
      </c>
      <c r="U2" s="4" t="n">
        <v>1</v>
      </c>
      <c r="V2" s="4" t="s">
        <v>26</v>
      </c>
      <c r="W2" s="7"/>
      <c r="X2" s="5" t="n">
        <f aca="false">ROUND(J2/F2,2)</f>
        <v>30.51</v>
      </c>
    </row>
    <row r="3" customFormat="false" ht="15" hidden="false" customHeight="false" outlineLevel="0" collapsed="false">
      <c r="A3" s="3" t="n">
        <v>2</v>
      </c>
      <c r="B3" s="3" t="s">
        <v>27</v>
      </c>
      <c r="C3" s="3" t="s">
        <v>28</v>
      </c>
      <c r="D3" s="4" t="s">
        <v>25</v>
      </c>
      <c r="E3" s="5" t="n">
        <v>40</v>
      </c>
      <c r="F3" s="4" t="n">
        <v>20</v>
      </c>
      <c r="G3" s="5" t="n">
        <v>33.9</v>
      </c>
      <c r="H3" s="5" t="n">
        <v>677.97</v>
      </c>
      <c r="I3" s="6" t="n">
        <v>0.2</v>
      </c>
      <c r="J3" s="5" t="n">
        <v>542.37</v>
      </c>
      <c r="K3" s="6" t="n">
        <v>0.09</v>
      </c>
      <c r="L3" s="5" t="n">
        <v>48.81</v>
      </c>
      <c r="M3" s="6" t="n">
        <v>0.09</v>
      </c>
      <c r="N3" s="5" t="n">
        <v>48.81</v>
      </c>
      <c r="O3" s="5" t="n">
        <f aca="false">J3+L3+N3</f>
        <v>639.99</v>
      </c>
      <c r="P3" s="5" t="n">
        <f aca="false">ROUND(H3*1.18/F3,2)</f>
        <v>40</v>
      </c>
      <c r="Q3" s="5" t="n">
        <f aca="false">ROUND(H3*0.8,2)</f>
        <v>542.38</v>
      </c>
      <c r="R3" s="5" t="n">
        <f aca="false">ROUND(Q3-J3,2)</f>
        <v>0.01</v>
      </c>
      <c r="S3" s="5" t="n">
        <f aca="false">ROUND(J3*9%,2)</f>
        <v>48.81</v>
      </c>
      <c r="T3" s="5" t="n">
        <f aca="false">ROUND(S3-L3,2)</f>
        <v>0</v>
      </c>
      <c r="U3" s="4" t="n">
        <v>1</v>
      </c>
      <c r="V3" s="4" t="s">
        <v>26</v>
      </c>
      <c r="W3" s="7"/>
      <c r="X3" s="5" t="n">
        <f aca="false">ROUND(J3/F3,2)</f>
        <v>27.12</v>
      </c>
    </row>
    <row r="4" customFormat="false" ht="15" hidden="false" customHeight="false" outlineLevel="0" collapsed="false">
      <c r="A4" s="3" t="n">
        <v>3</v>
      </c>
      <c r="B4" s="3" t="s">
        <v>29</v>
      </c>
      <c r="C4" s="3" t="s">
        <v>30</v>
      </c>
      <c r="D4" s="4" t="s">
        <v>31</v>
      </c>
      <c r="E4" s="5" t="n">
        <v>50</v>
      </c>
      <c r="F4" s="4" t="n">
        <v>5</v>
      </c>
      <c r="G4" s="5" t="n">
        <v>42.37</v>
      </c>
      <c r="H4" s="5" t="n">
        <v>211.86</v>
      </c>
      <c r="I4" s="6" t="n">
        <v>0.2</v>
      </c>
      <c r="J4" s="5" t="n">
        <v>169.49</v>
      </c>
      <c r="K4" s="6" t="n">
        <v>0.09</v>
      </c>
      <c r="L4" s="5" t="n">
        <v>15.25</v>
      </c>
      <c r="M4" s="6" t="n">
        <v>0.09</v>
      </c>
      <c r="N4" s="5" t="n">
        <v>15.25</v>
      </c>
      <c r="O4" s="5" t="n">
        <f aca="false">J4+L4+N4</f>
        <v>199.99</v>
      </c>
      <c r="P4" s="5" t="n">
        <f aca="false">ROUND(H4*1.18/F4,2)</f>
        <v>50</v>
      </c>
      <c r="Q4" s="5" t="n">
        <f aca="false">ROUND(H4*0.8,2)</f>
        <v>169.49</v>
      </c>
      <c r="R4" s="5" t="n">
        <f aca="false">ROUND(Q4-J4,2)</f>
        <v>0</v>
      </c>
      <c r="S4" s="5" t="n">
        <f aca="false">ROUND(J4*9%,2)</f>
        <v>15.25</v>
      </c>
      <c r="T4" s="5" t="n">
        <f aca="false">ROUND(S4-L4,2)</f>
        <v>0</v>
      </c>
      <c r="U4" s="4" t="n">
        <v>1</v>
      </c>
      <c r="V4" s="4" t="s">
        <v>26</v>
      </c>
      <c r="W4" s="7"/>
      <c r="X4" s="5" t="n">
        <f aca="false">ROUND(J4/F4,2)</f>
        <v>33.9</v>
      </c>
    </row>
    <row r="5" customFormat="false" ht="15" hidden="false" customHeight="false" outlineLevel="0" collapsed="false">
      <c r="A5" s="3" t="n">
        <v>4</v>
      </c>
      <c r="B5" s="3" t="s">
        <v>32</v>
      </c>
      <c r="C5" s="3" t="s">
        <v>33</v>
      </c>
      <c r="D5" s="4" t="s">
        <v>34</v>
      </c>
      <c r="E5" s="5" t="n">
        <v>14</v>
      </c>
      <c r="F5" s="4" t="n">
        <v>20</v>
      </c>
      <c r="G5" s="5" t="n">
        <v>11.53</v>
      </c>
      <c r="H5" s="5" t="n">
        <v>230.51</v>
      </c>
      <c r="I5" s="6" t="n">
        <v>0.2</v>
      </c>
      <c r="J5" s="5" t="n">
        <v>184.41</v>
      </c>
      <c r="K5" s="6" t="n">
        <v>0.09</v>
      </c>
      <c r="L5" s="5" t="n">
        <v>16.6</v>
      </c>
      <c r="M5" s="6" t="n">
        <v>0.09</v>
      </c>
      <c r="N5" s="5" t="n">
        <v>16.6</v>
      </c>
      <c r="O5" s="5" t="n">
        <f aca="false">J5+L5+N5</f>
        <v>217.61</v>
      </c>
      <c r="P5" s="5" t="n">
        <f aca="false">ROUND(H5*1.18/F5,2)</f>
        <v>13.6</v>
      </c>
      <c r="Q5" s="5" t="n">
        <f aca="false">ROUND(H5*0.8,2)</f>
        <v>184.41</v>
      </c>
      <c r="R5" s="5" t="n">
        <f aca="false">ROUND(Q5-J5,2)</f>
        <v>0</v>
      </c>
      <c r="S5" s="5" t="n">
        <f aca="false">ROUND(J5*9%,2)</f>
        <v>16.6</v>
      </c>
      <c r="T5" s="5" t="n">
        <f aca="false">ROUND(S5-L5,2)</f>
        <v>0</v>
      </c>
      <c r="U5" s="4" t="n">
        <v>1</v>
      </c>
      <c r="V5" s="4" t="s">
        <v>26</v>
      </c>
      <c r="W5" s="7"/>
      <c r="X5" s="5" t="n">
        <f aca="false">ROUND(J5/F5,2)</f>
        <v>9.22</v>
      </c>
    </row>
    <row r="6" customFormat="false" ht="15" hidden="false" customHeight="false" outlineLevel="0" collapsed="false">
      <c r="A6" s="3" t="n">
        <v>5</v>
      </c>
      <c r="B6" s="3" t="s">
        <v>35</v>
      </c>
      <c r="C6" s="3" t="s">
        <v>36</v>
      </c>
      <c r="D6" s="4" t="s">
        <v>37</v>
      </c>
      <c r="E6" s="5" t="n">
        <v>50</v>
      </c>
      <c r="F6" s="4" t="n">
        <v>5</v>
      </c>
      <c r="G6" s="5" t="n">
        <v>42.37</v>
      </c>
      <c r="H6" s="5" t="n">
        <v>211.86</v>
      </c>
      <c r="I6" s="6" t="n">
        <v>0.2</v>
      </c>
      <c r="J6" s="5" t="n">
        <v>169.49</v>
      </c>
      <c r="K6" s="6" t="n">
        <v>0.09</v>
      </c>
      <c r="L6" s="5" t="n">
        <v>15.25</v>
      </c>
      <c r="M6" s="6" t="n">
        <v>0.09</v>
      </c>
      <c r="N6" s="5" t="n">
        <v>15.25</v>
      </c>
      <c r="O6" s="5" t="n">
        <f aca="false">J6+L6+N6</f>
        <v>199.99</v>
      </c>
      <c r="P6" s="5" t="n">
        <f aca="false">ROUND(H6*1.18/F6,2)</f>
        <v>50</v>
      </c>
      <c r="Q6" s="5" t="n">
        <f aca="false">ROUND(H6*0.8,2)</f>
        <v>169.49</v>
      </c>
      <c r="R6" s="5" t="n">
        <f aca="false">ROUND(Q6-J6,2)</f>
        <v>0</v>
      </c>
      <c r="S6" s="5" t="n">
        <f aca="false">ROUND(J6*9%,2)</f>
        <v>15.25</v>
      </c>
      <c r="T6" s="5" t="n">
        <f aca="false">ROUND(S6-L6,2)</f>
        <v>0</v>
      </c>
      <c r="U6" s="4" t="n">
        <v>1</v>
      </c>
      <c r="V6" s="4" t="s">
        <v>26</v>
      </c>
      <c r="W6" s="7"/>
      <c r="X6" s="5" t="n">
        <f aca="false">ROUND(J6/F6,2)</f>
        <v>33.9</v>
      </c>
    </row>
    <row r="7" customFormat="false" ht="15" hidden="false" customHeight="false" outlineLevel="0" collapsed="false">
      <c r="A7" s="3" t="n">
        <v>6</v>
      </c>
      <c r="B7" s="3" t="s">
        <v>38</v>
      </c>
      <c r="C7" s="3" t="s">
        <v>39</v>
      </c>
      <c r="D7" s="4" t="s">
        <v>25</v>
      </c>
      <c r="E7" s="5" t="n">
        <v>285</v>
      </c>
      <c r="F7" s="4" t="n">
        <v>20</v>
      </c>
      <c r="G7" s="5" t="n">
        <v>241.53</v>
      </c>
      <c r="H7" s="5" t="n">
        <v>4830.51</v>
      </c>
      <c r="I7" s="6" t="n">
        <v>0.2</v>
      </c>
      <c r="J7" s="5" t="n">
        <v>3864.41</v>
      </c>
      <c r="K7" s="6" t="n">
        <v>0.09</v>
      </c>
      <c r="L7" s="5" t="n">
        <v>347.8</v>
      </c>
      <c r="M7" s="6" t="n">
        <v>0.09</v>
      </c>
      <c r="N7" s="5" t="n">
        <v>347.8</v>
      </c>
      <c r="O7" s="5" t="n">
        <f aca="false">J7+L7+N7</f>
        <v>4560.01</v>
      </c>
      <c r="P7" s="5" t="n">
        <f aca="false">ROUND(H7*1.18/F7,2)</f>
        <v>285</v>
      </c>
      <c r="Q7" s="5" t="n">
        <f aca="false">ROUND(H7*0.8,2)</f>
        <v>3864.41</v>
      </c>
      <c r="R7" s="5" t="n">
        <f aca="false">ROUND(Q7-J7,2)</f>
        <v>0</v>
      </c>
      <c r="S7" s="5" t="n">
        <f aca="false">ROUND(J7*9%,2)</f>
        <v>347.8</v>
      </c>
      <c r="T7" s="5" t="n">
        <f aca="false">ROUND(S7-L7,2)</f>
        <v>0</v>
      </c>
      <c r="U7" s="4" t="n">
        <v>1</v>
      </c>
      <c r="V7" s="4" t="s">
        <v>26</v>
      </c>
      <c r="W7" s="7"/>
      <c r="X7" s="5" t="n">
        <f aca="false">ROUND(J7/F7,2)</f>
        <v>193.22</v>
      </c>
    </row>
    <row r="8" customFormat="false" ht="15" hidden="false" customHeight="false" outlineLevel="0" collapsed="false">
      <c r="A8" s="3" t="n">
        <v>7</v>
      </c>
      <c r="B8" s="3" t="s">
        <v>40</v>
      </c>
      <c r="C8" s="3" t="s">
        <v>41</v>
      </c>
      <c r="D8" s="4" t="s">
        <v>34</v>
      </c>
      <c r="E8" s="5" t="n">
        <v>1175</v>
      </c>
      <c r="F8" s="4" t="n">
        <v>1</v>
      </c>
      <c r="G8" s="5" t="n">
        <v>995.76</v>
      </c>
      <c r="H8" s="5" t="n">
        <v>995.76</v>
      </c>
      <c r="I8" s="6" t="n">
        <v>0.2</v>
      </c>
      <c r="J8" s="5" t="n">
        <v>796.61</v>
      </c>
      <c r="K8" s="6" t="n">
        <v>0.09</v>
      </c>
      <c r="L8" s="5" t="n">
        <v>71.69</v>
      </c>
      <c r="M8" s="6" t="n">
        <v>0.09</v>
      </c>
      <c r="N8" s="5" t="n">
        <v>71.69</v>
      </c>
      <c r="O8" s="5" t="n">
        <f aca="false">J8+L8+N8</f>
        <v>939.99</v>
      </c>
      <c r="P8" s="5" t="n">
        <f aca="false">ROUND(H8*1.18/F8,2)</f>
        <v>1175</v>
      </c>
      <c r="Q8" s="5" t="n">
        <f aca="false">ROUND(H8*0.8,2)</f>
        <v>796.61</v>
      </c>
      <c r="R8" s="5" t="n">
        <f aca="false">ROUND(Q8-J8,2)</f>
        <v>0</v>
      </c>
      <c r="S8" s="5" t="n">
        <f aca="false">ROUND(J8*9%,2)</f>
        <v>71.69</v>
      </c>
      <c r="T8" s="5" t="n">
        <f aca="false">ROUND(S8-L8,2)</f>
        <v>0</v>
      </c>
      <c r="U8" s="4" t="n">
        <v>1</v>
      </c>
      <c r="V8" s="4" t="s">
        <v>26</v>
      </c>
      <c r="W8" s="7"/>
      <c r="X8" s="5" t="n">
        <f aca="false">ROUND(J8/F8,2)</f>
        <v>796.61</v>
      </c>
    </row>
    <row r="9" customFormat="false" ht="15" hidden="false" customHeight="false" outlineLevel="0" collapsed="false">
      <c r="A9" s="3" t="n">
        <v>8</v>
      </c>
      <c r="B9" s="3" t="s">
        <v>42</v>
      </c>
      <c r="C9" s="3" t="s">
        <v>43</v>
      </c>
      <c r="D9" s="4" t="s">
        <v>34</v>
      </c>
      <c r="E9" s="5" t="n">
        <v>314</v>
      </c>
      <c r="F9" s="4" t="n">
        <v>3</v>
      </c>
      <c r="G9" s="5" t="n">
        <v>266.1</v>
      </c>
      <c r="H9" s="5" t="n">
        <v>798.31</v>
      </c>
      <c r="I9" s="6" t="n">
        <v>0.2</v>
      </c>
      <c r="J9" s="5" t="n">
        <v>638.64</v>
      </c>
      <c r="K9" s="6" t="n">
        <v>0.09</v>
      </c>
      <c r="L9" s="5" t="n">
        <v>57.48</v>
      </c>
      <c r="M9" s="6" t="n">
        <v>0.09</v>
      </c>
      <c r="N9" s="5" t="n">
        <v>57.48</v>
      </c>
      <c r="O9" s="5" t="n">
        <f aca="false">J9+L9+N9</f>
        <v>753.6</v>
      </c>
      <c r="P9" s="5" t="n">
        <f aca="false">ROUND(H9*1.18/F9,2)</f>
        <v>314</v>
      </c>
      <c r="Q9" s="5" t="n">
        <f aca="false">ROUND(H9*0.8,2)</f>
        <v>638.65</v>
      </c>
      <c r="R9" s="5" t="n">
        <f aca="false">ROUND(Q9-J9,2)</f>
        <v>0.01</v>
      </c>
      <c r="S9" s="5" t="n">
        <f aca="false">ROUND(J9*9%,2)</f>
        <v>57.48</v>
      </c>
      <c r="T9" s="5" t="n">
        <f aca="false">ROUND(S9-L9,2)</f>
        <v>0</v>
      </c>
      <c r="U9" s="4" t="n">
        <v>1</v>
      </c>
      <c r="V9" s="4" t="s">
        <v>26</v>
      </c>
      <c r="W9" s="7"/>
      <c r="X9" s="5" t="n">
        <f aca="false">ROUND(J9/F9,2)</f>
        <v>212.88</v>
      </c>
    </row>
    <row r="10" customFormat="false" ht="15" hidden="false" customHeight="false" outlineLevel="0" collapsed="false">
      <c r="A10" s="3" t="n">
        <v>9</v>
      </c>
      <c r="B10" s="3" t="s">
        <v>44</v>
      </c>
      <c r="C10" s="3" t="s">
        <v>45</v>
      </c>
      <c r="D10" s="4" t="s">
        <v>34</v>
      </c>
      <c r="E10" s="5" t="n">
        <v>142</v>
      </c>
      <c r="F10" s="4" t="n">
        <v>5</v>
      </c>
      <c r="G10" s="5" t="n">
        <v>120.34</v>
      </c>
      <c r="H10" s="5" t="n">
        <v>601.69</v>
      </c>
      <c r="I10" s="6" t="n">
        <v>0.2</v>
      </c>
      <c r="J10" s="5" t="n">
        <v>481.36</v>
      </c>
      <c r="K10" s="6" t="n">
        <v>0.09</v>
      </c>
      <c r="L10" s="5" t="n">
        <v>43.32</v>
      </c>
      <c r="M10" s="6" t="n">
        <v>0.09</v>
      </c>
      <c r="N10" s="5" t="n">
        <v>43.32</v>
      </c>
      <c r="O10" s="5" t="n">
        <f aca="false">J10+L10+N10</f>
        <v>568</v>
      </c>
      <c r="P10" s="5" t="n">
        <f aca="false">ROUND(H10*1.18/F10,2)</f>
        <v>142</v>
      </c>
      <c r="Q10" s="5" t="n">
        <f aca="false">ROUND(H10*0.8,2)</f>
        <v>481.35</v>
      </c>
      <c r="R10" s="5" t="n">
        <f aca="false">ROUND(Q10-J10,2)</f>
        <v>-0.01</v>
      </c>
      <c r="S10" s="5" t="n">
        <f aca="false">ROUND(J10*9%,2)</f>
        <v>43.32</v>
      </c>
      <c r="T10" s="5" t="n">
        <f aca="false">ROUND(S10-L10,2)</f>
        <v>0</v>
      </c>
      <c r="U10" s="4" t="n">
        <v>1</v>
      </c>
      <c r="V10" s="4" t="s">
        <v>26</v>
      </c>
      <c r="W10" s="7"/>
      <c r="X10" s="5" t="n">
        <f aca="false">ROUND(J10/F10,2)</f>
        <v>96.27</v>
      </c>
    </row>
    <row r="11" customFormat="false" ht="15" hidden="false" customHeight="false" outlineLevel="0" collapsed="false">
      <c r="A11" s="3" t="n">
        <v>10</v>
      </c>
      <c r="B11" s="3" t="s">
        <v>46</v>
      </c>
      <c r="C11" s="3" t="s">
        <v>47</v>
      </c>
      <c r="D11" s="4" t="s">
        <v>34</v>
      </c>
      <c r="E11" s="5" t="n">
        <v>131</v>
      </c>
      <c r="F11" s="4" t="n">
        <v>5</v>
      </c>
      <c r="G11" s="5" t="n">
        <v>111.02</v>
      </c>
      <c r="H11" s="5" t="n">
        <v>555.08</v>
      </c>
      <c r="I11" s="6" t="n">
        <v>0.2</v>
      </c>
      <c r="J11" s="5" t="n">
        <v>444.07</v>
      </c>
      <c r="K11" s="6" t="n">
        <v>0.09</v>
      </c>
      <c r="L11" s="5" t="n">
        <v>39.97</v>
      </c>
      <c r="M11" s="6" t="n">
        <v>0.09</v>
      </c>
      <c r="N11" s="5" t="n">
        <v>39.97</v>
      </c>
      <c r="O11" s="5" t="n">
        <f aca="false">J11+L11+N11</f>
        <v>524.01</v>
      </c>
      <c r="P11" s="5" t="n">
        <f aca="false">ROUND(H11*1.18/F11,2)</f>
        <v>131</v>
      </c>
      <c r="Q11" s="5" t="n">
        <f aca="false">ROUND(H11*0.8,2)</f>
        <v>444.06</v>
      </c>
      <c r="R11" s="5" t="n">
        <f aca="false">ROUND(Q11-J11,2)</f>
        <v>-0.01</v>
      </c>
      <c r="S11" s="5" t="n">
        <f aca="false">ROUND(J11*9%,2)</f>
        <v>39.97</v>
      </c>
      <c r="T11" s="5" t="n">
        <f aca="false">ROUND(S11-L11,2)</f>
        <v>0</v>
      </c>
      <c r="U11" s="4" t="n">
        <v>1</v>
      </c>
      <c r="V11" s="4" t="s">
        <v>26</v>
      </c>
      <c r="W11" s="7"/>
      <c r="X11" s="5" t="n">
        <f aca="false">ROUND(J11/F11,2)</f>
        <v>88.81</v>
      </c>
    </row>
    <row r="12" customFormat="false" ht="15" hidden="false" customHeight="false" outlineLevel="0" collapsed="false">
      <c r="A12" s="3" t="n">
        <v>11</v>
      </c>
      <c r="B12" s="3" t="s">
        <v>48</v>
      </c>
      <c r="C12" s="3" t="s">
        <v>49</v>
      </c>
      <c r="D12" s="4" t="s">
        <v>50</v>
      </c>
      <c r="E12" s="5" t="n">
        <v>715</v>
      </c>
      <c r="F12" s="4" t="n">
        <v>2</v>
      </c>
      <c r="G12" s="5" t="n">
        <v>605.93</v>
      </c>
      <c r="H12" s="5" t="n">
        <v>1211.86</v>
      </c>
      <c r="I12" s="6" t="n">
        <v>0.2</v>
      </c>
      <c r="J12" s="5" t="n">
        <v>969.49</v>
      </c>
      <c r="K12" s="6" t="n">
        <v>0.09</v>
      </c>
      <c r="L12" s="5" t="n">
        <v>87.25</v>
      </c>
      <c r="M12" s="6" t="n">
        <v>0.09</v>
      </c>
      <c r="N12" s="5" t="n">
        <v>87.25</v>
      </c>
      <c r="O12" s="5" t="n">
        <f aca="false">J12+L12+N12</f>
        <v>1143.99</v>
      </c>
      <c r="P12" s="5" t="n">
        <f aca="false">ROUND(H12*1.18/F12,2)</f>
        <v>715</v>
      </c>
      <c r="Q12" s="5" t="n">
        <f aca="false">ROUND(H12*0.8,2)</f>
        <v>969.49</v>
      </c>
      <c r="R12" s="5" t="n">
        <f aca="false">ROUND(Q12-J12,2)</f>
        <v>0</v>
      </c>
      <c r="S12" s="5" t="n">
        <f aca="false">ROUND(J12*9%,2)</f>
        <v>87.25</v>
      </c>
      <c r="T12" s="5" t="n">
        <f aca="false">ROUND(S12-L12,2)</f>
        <v>0</v>
      </c>
      <c r="U12" s="4" t="n">
        <v>1</v>
      </c>
      <c r="V12" s="4" t="s">
        <v>26</v>
      </c>
      <c r="W12" s="7"/>
      <c r="X12" s="5" t="n">
        <f aca="false">ROUND(J12/F12,2)</f>
        <v>484.75</v>
      </c>
    </row>
    <row r="13" customFormat="false" ht="15" hidden="false" customHeight="false" outlineLevel="0" collapsed="false">
      <c r="A13" s="3" t="n">
        <v>12</v>
      </c>
      <c r="B13" s="3" t="s">
        <v>51</v>
      </c>
      <c r="C13" s="3" t="s">
        <v>52</v>
      </c>
      <c r="D13" s="4" t="s">
        <v>50</v>
      </c>
      <c r="E13" s="5" t="n">
        <v>640</v>
      </c>
      <c r="F13" s="4" t="n">
        <v>2</v>
      </c>
      <c r="G13" s="5" t="n">
        <v>542.37</v>
      </c>
      <c r="H13" s="5" t="n">
        <v>1084.75</v>
      </c>
      <c r="I13" s="6" t="n">
        <v>0.2</v>
      </c>
      <c r="J13" s="5" t="n">
        <v>867.8</v>
      </c>
      <c r="K13" s="6" t="n">
        <v>0.09</v>
      </c>
      <c r="L13" s="5" t="n">
        <v>78.1</v>
      </c>
      <c r="M13" s="6" t="n">
        <v>0.09</v>
      </c>
      <c r="N13" s="5" t="n">
        <v>78.1</v>
      </c>
      <c r="O13" s="5" t="n">
        <f aca="false">J13+L13+N13</f>
        <v>1024</v>
      </c>
      <c r="P13" s="5" t="n">
        <f aca="false">ROUND(H13*1.18/F13,2)</f>
        <v>640</v>
      </c>
      <c r="Q13" s="5" t="n">
        <f aca="false">ROUND(H13*0.8,2)</f>
        <v>867.8</v>
      </c>
      <c r="R13" s="5" t="n">
        <f aca="false">ROUND(Q13-J13,2)</f>
        <v>0</v>
      </c>
      <c r="S13" s="5" t="n">
        <f aca="false">ROUND(J13*9%,2)</f>
        <v>78.1</v>
      </c>
      <c r="T13" s="5" t="n">
        <f aca="false">ROUND(S13-L13,2)</f>
        <v>0</v>
      </c>
      <c r="U13" s="4" t="n">
        <v>1</v>
      </c>
      <c r="V13" s="4" t="s">
        <v>26</v>
      </c>
      <c r="W13" s="7"/>
      <c r="X13" s="5" t="n">
        <f aca="false">ROUND(J13/F13,2)</f>
        <v>433.9</v>
      </c>
    </row>
    <row r="14" customFormat="false" ht="15" hidden="false" customHeight="false" outlineLevel="0" collapsed="false">
      <c r="A14" s="3" t="n">
        <v>13</v>
      </c>
      <c r="B14" s="3" t="s">
        <v>53</v>
      </c>
      <c r="C14" s="3" t="s">
        <v>54</v>
      </c>
      <c r="D14" s="4" t="s">
        <v>55</v>
      </c>
      <c r="E14" s="5" t="n">
        <v>350</v>
      </c>
      <c r="F14" s="4" t="n">
        <v>2</v>
      </c>
      <c r="G14" s="5" t="n">
        <v>296.61</v>
      </c>
      <c r="H14" s="5" t="n">
        <v>593.22</v>
      </c>
      <c r="I14" s="6" t="n">
        <v>0.2</v>
      </c>
      <c r="J14" s="5" t="n">
        <v>474.58</v>
      </c>
      <c r="K14" s="6" t="n">
        <v>0.09</v>
      </c>
      <c r="L14" s="5" t="n">
        <v>42.71</v>
      </c>
      <c r="M14" s="6" t="n">
        <v>0.09</v>
      </c>
      <c r="N14" s="5" t="n">
        <v>42.71</v>
      </c>
      <c r="O14" s="5" t="n">
        <f aca="false">J14+L14+N14</f>
        <v>560</v>
      </c>
      <c r="P14" s="5" t="n">
        <f aca="false">ROUND(H14*1.18/F14,2)</f>
        <v>350</v>
      </c>
      <c r="Q14" s="5" t="n">
        <f aca="false">ROUND(H14*0.8,2)</f>
        <v>474.58</v>
      </c>
      <c r="R14" s="5" t="n">
        <f aca="false">ROUND(Q14-J14,2)</f>
        <v>0</v>
      </c>
      <c r="S14" s="5" t="n">
        <f aca="false">ROUND(J14*9%,2)</f>
        <v>42.71</v>
      </c>
      <c r="T14" s="5" t="n">
        <f aca="false">ROUND(S14-L14,2)</f>
        <v>0</v>
      </c>
      <c r="U14" s="4" t="n">
        <v>1</v>
      </c>
      <c r="V14" s="4" t="s">
        <v>26</v>
      </c>
      <c r="W14" s="7"/>
      <c r="X14" s="5" t="n">
        <f aca="false">ROUND(J14/F14,2)</f>
        <v>237.29</v>
      </c>
    </row>
    <row r="15" customFormat="false" ht="15" hidden="false" customHeight="false" outlineLevel="0" collapsed="false">
      <c r="A15" s="3" t="n">
        <v>14</v>
      </c>
      <c r="B15" s="3" t="s">
        <v>56</v>
      </c>
      <c r="C15" s="3" t="s">
        <v>57</v>
      </c>
      <c r="D15" s="4" t="s">
        <v>58</v>
      </c>
      <c r="E15" s="5" t="n">
        <v>225</v>
      </c>
      <c r="F15" s="4" t="n">
        <v>5</v>
      </c>
      <c r="G15" s="5" t="n">
        <v>190.68</v>
      </c>
      <c r="H15" s="5" t="n">
        <v>953.39</v>
      </c>
      <c r="I15" s="6" t="n">
        <v>0.2</v>
      </c>
      <c r="J15" s="5" t="n">
        <v>762.71</v>
      </c>
      <c r="K15" s="6" t="n">
        <v>0.09</v>
      </c>
      <c r="L15" s="5" t="n">
        <v>68.64</v>
      </c>
      <c r="M15" s="6" t="n">
        <v>0.09</v>
      </c>
      <c r="N15" s="5" t="n">
        <v>68.64</v>
      </c>
      <c r="O15" s="5" t="n">
        <f aca="false">J15+L15+N15</f>
        <v>899.99</v>
      </c>
      <c r="P15" s="5" t="n">
        <f aca="false">ROUND(H15*1.18/F15,2)</f>
        <v>225</v>
      </c>
      <c r="Q15" s="5" t="n">
        <f aca="false">ROUND(H15*0.8,2)</f>
        <v>762.71</v>
      </c>
      <c r="R15" s="5" t="n">
        <f aca="false">ROUND(Q15-J15,2)</f>
        <v>0</v>
      </c>
      <c r="S15" s="5" t="n">
        <f aca="false">ROUND(J15*9%,2)</f>
        <v>68.64</v>
      </c>
      <c r="T15" s="5" t="n">
        <f aca="false">ROUND(S15-L15,2)</f>
        <v>0</v>
      </c>
      <c r="U15" s="4" t="n">
        <v>1</v>
      </c>
      <c r="V15" s="4" t="s">
        <v>26</v>
      </c>
      <c r="W15" s="7"/>
      <c r="X15" s="5" t="n">
        <f aca="false">ROUND(J15/F15,2)</f>
        <v>152.54</v>
      </c>
    </row>
    <row r="16" customFormat="false" ht="15" hidden="false" customHeight="false" outlineLevel="0" collapsed="false">
      <c r="A16" s="3" t="n">
        <v>15</v>
      </c>
      <c r="B16" s="3" t="s">
        <v>59</v>
      </c>
      <c r="C16" s="3" t="s">
        <v>60</v>
      </c>
      <c r="D16" s="4" t="s">
        <v>58</v>
      </c>
      <c r="E16" s="5" t="n">
        <v>190</v>
      </c>
      <c r="F16" s="4" t="n">
        <v>5</v>
      </c>
      <c r="G16" s="5" t="n">
        <v>161.02</v>
      </c>
      <c r="H16" s="5" t="n">
        <v>805.08</v>
      </c>
      <c r="I16" s="6" t="n">
        <v>0.2</v>
      </c>
      <c r="J16" s="5" t="n">
        <v>644.07</v>
      </c>
      <c r="K16" s="6" t="n">
        <v>0.09</v>
      </c>
      <c r="L16" s="5" t="n">
        <v>57.97</v>
      </c>
      <c r="M16" s="6" t="n">
        <v>0.09</v>
      </c>
      <c r="N16" s="5" t="n">
        <v>57.97</v>
      </c>
      <c r="O16" s="5" t="n">
        <f aca="false">J16+L16+N16</f>
        <v>760.01</v>
      </c>
      <c r="P16" s="5" t="n">
        <f aca="false">ROUND(H16*1.18/F16,2)</f>
        <v>190</v>
      </c>
      <c r="Q16" s="5" t="n">
        <f aca="false">ROUND(H16*0.8,2)</f>
        <v>644.06</v>
      </c>
      <c r="R16" s="5" t="n">
        <f aca="false">ROUND(Q16-J16,2)</f>
        <v>-0.01</v>
      </c>
      <c r="S16" s="5" t="n">
        <f aca="false">ROUND(J16*9%,2)</f>
        <v>57.97</v>
      </c>
      <c r="T16" s="5" t="n">
        <f aca="false">ROUND(S16-L16,2)</f>
        <v>0</v>
      </c>
      <c r="U16" s="4" t="n">
        <v>1</v>
      </c>
      <c r="V16" s="4" t="s">
        <v>26</v>
      </c>
      <c r="W16" s="7"/>
      <c r="X16" s="5" t="n">
        <f aca="false">ROUND(J16/F16,2)</f>
        <v>128.81</v>
      </c>
    </row>
    <row r="17" customFormat="false" ht="15" hidden="false" customHeight="false" outlineLevel="0" collapsed="false">
      <c r="A17" s="3" t="n">
        <v>16</v>
      </c>
      <c r="B17" s="3" t="s">
        <v>61</v>
      </c>
      <c r="C17" s="3" t="s">
        <v>62</v>
      </c>
      <c r="D17" s="4" t="s">
        <v>34</v>
      </c>
      <c r="E17" s="5" t="n">
        <v>160</v>
      </c>
      <c r="F17" s="4" t="n">
        <v>50</v>
      </c>
      <c r="G17" s="5" t="n">
        <v>135.59</v>
      </c>
      <c r="H17" s="5" t="n">
        <v>6779.66</v>
      </c>
      <c r="I17" s="6" t="n">
        <v>0.2</v>
      </c>
      <c r="J17" s="5" t="n">
        <v>5423.73</v>
      </c>
      <c r="K17" s="6" t="n">
        <v>0.09</v>
      </c>
      <c r="L17" s="5" t="n">
        <v>488.14</v>
      </c>
      <c r="M17" s="6" t="n">
        <v>0.09</v>
      </c>
      <c r="N17" s="5" t="n">
        <v>488.14</v>
      </c>
      <c r="O17" s="5" t="n">
        <f aca="false">J17+L17+N17</f>
        <v>6400.01</v>
      </c>
      <c r="P17" s="5" t="n">
        <f aca="false">ROUND(H17*1.18/F17,2)</f>
        <v>160</v>
      </c>
      <c r="Q17" s="5" t="n">
        <f aca="false">ROUND(H17*0.8,2)</f>
        <v>5423.73</v>
      </c>
      <c r="R17" s="5" t="n">
        <f aca="false">ROUND(Q17-J17,2)</f>
        <v>0</v>
      </c>
      <c r="S17" s="5" t="n">
        <f aca="false">ROUND(J17*9%,2)</f>
        <v>488.14</v>
      </c>
      <c r="T17" s="5" t="n">
        <f aca="false">ROUND(S17-L17,2)</f>
        <v>0</v>
      </c>
      <c r="U17" s="4" t="n">
        <v>1</v>
      </c>
      <c r="V17" s="4" t="s">
        <v>26</v>
      </c>
      <c r="W17" s="7"/>
      <c r="X17" s="5" t="n">
        <f aca="false">ROUND(J17/F17,2)</f>
        <v>108.47</v>
      </c>
    </row>
    <row r="18" customFormat="false" ht="15" hidden="false" customHeight="false" outlineLevel="0" collapsed="false">
      <c r="A18" s="3" t="n">
        <v>17</v>
      </c>
      <c r="B18" s="3" t="s">
        <v>63</v>
      </c>
      <c r="C18" s="3" t="s">
        <v>64</v>
      </c>
      <c r="D18" s="4" t="s">
        <v>34</v>
      </c>
      <c r="E18" s="5" t="n">
        <v>276</v>
      </c>
      <c r="F18" s="4" t="n">
        <v>2</v>
      </c>
      <c r="G18" s="5" t="n">
        <v>233.9</v>
      </c>
      <c r="H18" s="5" t="n">
        <v>467.8</v>
      </c>
      <c r="I18" s="6" t="n">
        <v>0.2</v>
      </c>
      <c r="J18" s="5" t="n">
        <v>374.24</v>
      </c>
      <c r="K18" s="6" t="n">
        <v>0.09</v>
      </c>
      <c r="L18" s="5" t="n">
        <v>33.68</v>
      </c>
      <c r="M18" s="6" t="n">
        <v>0.09</v>
      </c>
      <c r="N18" s="5" t="n">
        <v>33.68</v>
      </c>
      <c r="O18" s="5" t="n">
        <f aca="false">J18+L18+N18</f>
        <v>441.6</v>
      </c>
      <c r="P18" s="5" t="n">
        <f aca="false">ROUND(H18*1.18/F18,2)</f>
        <v>276</v>
      </c>
      <c r="Q18" s="5" t="n">
        <f aca="false">ROUND(H18*0.8,2)</f>
        <v>374.24</v>
      </c>
      <c r="R18" s="5" t="n">
        <f aca="false">ROUND(Q18-J18,2)</f>
        <v>0</v>
      </c>
      <c r="S18" s="5" t="n">
        <f aca="false">ROUND(J18*9%,2)</f>
        <v>33.68</v>
      </c>
      <c r="T18" s="5" t="n">
        <f aca="false">ROUND(S18-L18,2)</f>
        <v>0</v>
      </c>
      <c r="U18" s="4" t="n">
        <v>1</v>
      </c>
      <c r="V18" s="4" t="s">
        <v>26</v>
      </c>
      <c r="W18" s="7"/>
      <c r="X18" s="5" t="n">
        <f aca="false">ROUND(J18/F18,2)</f>
        <v>187.12</v>
      </c>
    </row>
    <row r="19" customFormat="false" ht="15" hidden="false" customHeight="false" outlineLevel="0" collapsed="false">
      <c r="A19" s="3" t="n">
        <v>18</v>
      </c>
      <c r="B19" s="3" t="s">
        <v>65</v>
      </c>
      <c r="C19" s="3" t="s">
        <v>66</v>
      </c>
      <c r="D19" s="4" t="s">
        <v>34</v>
      </c>
      <c r="E19" s="5" t="n">
        <v>197</v>
      </c>
      <c r="F19" s="4" t="n">
        <v>4</v>
      </c>
      <c r="G19" s="5" t="n">
        <v>166.95</v>
      </c>
      <c r="H19" s="5" t="n">
        <v>667.8</v>
      </c>
      <c r="I19" s="6" t="n">
        <v>0.2</v>
      </c>
      <c r="J19" s="5" t="n">
        <v>534.24</v>
      </c>
      <c r="K19" s="6" t="n">
        <v>0.09</v>
      </c>
      <c r="L19" s="5" t="n">
        <v>48.08</v>
      </c>
      <c r="M19" s="6" t="n">
        <v>0.09</v>
      </c>
      <c r="N19" s="5" t="n">
        <v>48.08</v>
      </c>
      <c r="O19" s="5" t="n">
        <f aca="false">J19+L19+N19</f>
        <v>630.4</v>
      </c>
      <c r="P19" s="5" t="n">
        <f aca="false">ROUND(H19*1.18/F19,2)</f>
        <v>197</v>
      </c>
      <c r="Q19" s="5" t="n">
        <f aca="false">ROUND(H19*0.8,2)</f>
        <v>534.24</v>
      </c>
      <c r="R19" s="5" t="n">
        <f aca="false">ROUND(Q19-J19,2)</f>
        <v>0</v>
      </c>
      <c r="S19" s="5" t="n">
        <f aca="false">ROUND(J19*9%,2)</f>
        <v>48.08</v>
      </c>
      <c r="T19" s="5" t="n">
        <f aca="false">ROUND(S19-L19,2)</f>
        <v>0</v>
      </c>
      <c r="U19" s="4" t="n">
        <v>1</v>
      </c>
      <c r="V19" s="4" t="s">
        <v>26</v>
      </c>
      <c r="W19" s="7"/>
      <c r="X19" s="5" t="n">
        <f aca="false">ROUND(J19/F19,2)</f>
        <v>133.56</v>
      </c>
    </row>
    <row r="20" customFormat="false" ht="15" hidden="false" customHeight="false" outlineLevel="0" collapsed="false">
      <c r="A20" s="3" t="n">
        <v>19</v>
      </c>
      <c r="B20" s="3" t="s">
        <v>67</v>
      </c>
      <c r="C20" s="3" t="s">
        <v>68</v>
      </c>
      <c r="D20" s="4" t="s">
        <v>34</v>
      </c>
      <c r="E20" s="5" t="n">
        <v>387</v>
      </c>
      <c r="F20" s="4" t="n">
        <v>1</v>
      </c>
      <c r="G20" s="5" t="n">
        <v>327.97</v>
      </c>
      <c r="H20" s="5" t="n">
        <v>327.97</v>
      </c>
      <c r="I20" s="6" t="n">
        <v>0.2</v>
      </c>
      <c r="J20" s="5" t="n">
        <v>262.37</v>
      </c>
      <c r="K20" s="6" t="n">
        <v>0.09</v>
      </c>
      <c r="L20" s="5" t="n">
        <v>23.61</v>
      </c>
      <c r="M20" s="6" t="n">
        <v>0.09</v>
      </c>
      <c r="N20" s="5" t="n">
        <v>23.61</v>
      </c>
      <c r="O20" s="5" t="n">
        <f aca="false">J20+L20+N20</f>
        <v>309.59</v>
      </c>
      <c r="P20" s="5" t="n">
        <f aca="false">ROUND(H20*1.18/F20,2)</f>
        <v>387</v>
      </c>
      <c r="Q20" s="5" t="n">
        <f aca="false">ROUND(H20*0.8,2)</f>
        <v>262.38</v>
      </c>
      <c r="R20" s="5" t="n">
        <f aca="false">ROUND(Q20-J20,2)</f>
        <v>0.01</v>
      </c>
      <c r="S20" s="5" t="n">
        <f aca="false">ROUND(J20*9%,2)</f>
        <v>23.61</v>
      </c>
      <c r="T20" s="5" t="n">
        <f aca="false">ROUND(S20-L20,2)</f>
        <v>0</v>
      </c>
      <c r="U20" s="4" t="n">
        <v>1</v>
      </c>
      <c r="V20" s="4" t="s">
        <v>26</v>
      </c>
      <c r="W20" s="7"/>
      <c r="X20" s="5" t="n">
        <f aca="false">ROUND(J20/F20,2)</f>
        <v>262.37</v>
      </c>
    </row>
    <row r="21" customFormat="false" ht="15" hidden="false" customHeight="false" outlineLevel="0" collapsed="false">
      <c r="A21" s="3" t="n">
        <v>20</v>
      </c>
      <c r="B21" s="3" t="s">
        <v>69</v>
      </c>
      <c r="C21" s="3" t="s">
        <v>70</v>
      </c>
      <c r="D21" s="4" t="s">
        <v>34</v>
      </c>
      <c r="E21" s="5" t="n">
        <v>197</v>
      </c>
      <c r="F21" s="4" t="n">
        <v>4</v>
      </c>
      <c r="G21" s="5" t="n">
        <v>166.95</v>
      </c>
      <c r="H21" s="5" t="n">
        <v>667.8</v>
      </c>
      <c r="I21" s="6" t="n">
        <v>0.2</v>
      </c>
      <c r="J21" s="5" t="n">
        <v>534.24</v>
      </c>
      <c r="K21" s="6" t="n">
        <v>0.09</v>
      </c>
      <c r="L21" s="5" t="n">
        <v>48.08</v>
      </c>
      <c r="M21" s="6" t="n">
        <v>0.09</v>
      </c>
      <c r="N21" s="5" t="n">
        <v>48.08</v>
      </c>
      <c r="O21" s="5" t="n">
        <f aca="false">J21+L21+N21</f>
        <v>630.4</v>
      </c>
      <c r="P21" s="5" t="n">
        <f aca="false">ROUND(H21*1.18/F21,2)</f>
        <v>197</v>
      </c>
      <c r="Q21" s="5" t="n">
        <f aca="false">ROUND(H21*0.8,2)</f>
        <v>534.24</v>
      </c>
      <c r="R21" s="5" t="n">
        <f aca="false">ROUND(Q21-J21,2)</f>
        <v>0</v>
      </c>
      <c r="S21" s="5" t="n">
        <f aca="false">ROUND(J21*9%,2)</f>
        <v>48.08</v>
      </c>
      <c r="T21" s="5" t="n">
        <f aca="false">ROUND(S21-L21,2)</f>
        <v>0</v>
      </c>
      <c r="U21" s="4" t="n">
        <v>1</v>
      </c>
      <c r="V21" s="4" t="s">
        <v>26</v>
      </c>
      <c r="W21" s="7"/>
      <c r="X21" s="5" t="n">
        <f aca="false">ROUND(J21/F21,2)</f>
        <v>133.56</v>
      </c>
    </row>
    <row r="22" customFormat="false" ht="15" hidden="false" customHeight="false" outlineLevel="0" collapsed="false">
      <c r="A22" s="3" t="n">
        <v>21</v>
      </c>
      <c r="B22" s="3" t="s">
        <v>71</v>
      </c>
      <c r="C22" s="3" t="s">
        <v>72</v>
      </c>
      <c r="D22" s="4" t="s">
        <v>34</v>
      </c>
      <c r="E22" s="5" t="n">
        <v>410</v>
      </c>
      <c r="F22" s="4" t="n">
        <v>5</v>
      </c>
      <c r="G22" s="5" t="n">
        <v>347.46</v>
      </c>
      <c r="H22" s="5" t="n">
        <v>1737.29</v>
      </c>
      <c r="I22" s="6" t="n">
        <v>0.2</v>
      </c>
      <c r="J22" s="5" t="n">
        <v>1389.83</v>
      </c>
      <c r="K22" s="6" t="n">
        <v>0.09</v>
      </c>
      <c r="L22" s="5" t="n">
        <v>125.08</v>
      </c>
      <c r="M22" s="6" t="n">
        <v>0.09</v>
      </c>
      <c r="N22" s="5" t="n">
        <v>125.08</v>
      </c>
      <c r="O22" s="5" t="n">
        <f aca="false">J22+L22+N22</f>
        <v>1639.99</v>
      </c>
      <c r="P22" s="5" t="n">
        <f aca="false">ROUND(H22*1.18/F22,2)</f>
        <v>410</v>
      </c>
      <c r="Q22" s="5" t="n">
        <f aca="false">ROUND(H22*0.8,2)</f>
        <v>1389.83</v>
      </c>
      <c r="R22" s="5" t="n">
        <f aca="false">ROUND(Q22-J22,2)</f>
        <v>0</v>
      </c>
      <c r="S22" s="5" t="n">
        <f aca="false">ROUND(J22*9%,2)</f>
        <v>125.08</v>
      </c>
      <c r="T22" s="5" t="n">
        <f aca="false">ROUND(S22-L22,2)</f>
        <v>0</v>
      </c>
      <c r="U22" s="4" t="n">
        <v>1</v>
      </c>
      <c r="V22" s="4" t="s">
        <v>26</v>
      </c>
      <c r="W22" s="7"/>
      <c r="X22" s="5" t="n">
        <f aca="false">ROUND(J22/F22,2)</f>
        <v>277.97</v>
      </c>
    </row>
    <row r="23" customFormat="false" ht="15" hidden="false" customHeight="false" outlineLevel="0" collapsed="false">
      <c r="A23" s="3" t="n">
        <v>22</v>
      </c>
      <c r="B23" s="3" t="s">
        <v>73</v>
      </c>
      <c r="C23" s="3" t="s">
        <v>74</v>
      </c>
      <c r="D23" s="4" t="s">
        <v>34</v>
      </c>
      <c r="E23" s="5" t="n">
        <v>276</v>
      </c>
      <c r="F23" s="4" t="n">
        <v>2</v>
      </c>
      <c r="G23" s="5" t="n">
        <v>233.9</v>
      </c>
      <c r="H23" s="5" t="n">
        <v>467.8</v>
      </c>
      <c r="I23" s="6" t="n">
        <v>0.2</v>
      </c>
      <c r="J23" s="5" t="n">
        <v>374.24</v>
      </c>
      <c r="K23" s="6" t="n">
        <v>0.09</v>
      </c>
      <c r="L23" s="5" t="n">
        <v>33.68</v>
      </c>
      <c r="M23" s="6" t="n">
        <v>0.09</v>
      </c>
      <c r="N23" s="5" t="n">
        <v>33.68</v>
      </c>
      <c r="O23" s="5" t="n">
        <f aca="false">J23+L23+N23</f>
        <v>441.6</v>
      </c>
      <c r="P23" s="5" t="n">
        <f aca="false">ROUND(H23*1.18/F23,2)</f>
        <v>276</v>
      </c>
      <c r="Q23" s="5" t="n">
        <f aca="false">ROUND(H23*0.8,2)</f>
        <v>374.24</v>
      </c>
      <c r="R23" s="5" t="n">
        <f aca="false">ROUND(Q23-J23,2)</f>
        <v>0</v>
      </c>
      <c r="S23" s="5" t="n">
        <f aca="false">ROUND(J23*9%,2)</f>
        <v>33.68</v>
      </c>
      <c r="T23" s="5" t="n">
        <f aca="false">ROUND(S23-L23,2)</f>
        <v>0</v>
      </c>
      <c r="U23" s="4" t="n">
        <v>1</v>
      </c>
      <c r="V23" s="4" t="s">
        <v>26</v>
      </c>
      <c r="W23" s="7"/>
      <c r="X23" s="5" t="n">
        <f aca="false">ROUND(J23/F23,2)</f>
        <v>187.12</v>
      </c>
    </row>
    <row r="24" customFormat="false" ht="15" hidden="false" customHeight="false" outlineLevel="0" collapsed="false">
      <c r="A24" s="3" t="n">
        <v>23</v>
      </c>
      <c r="B24" s="3" t="s">
        <v>75</v>
      </c>
      <c r="C24" s="3" t="s">
        <v>76</v>
      </c>
      <c r="D24" s="4" t="s">
        <v>77</v>
      </c>
      <c r="E24" s="5" t="n">
        <v>9</v>
      </c>
      <c r="F24" s="4" t="n">
        <v>20</v>
      </c>
      <c r="G24" s="5" t="n">
        <v>7.63</v>
      </c>
      <c r="H24" s="5" t="n">
        <v>152.54</v>
      </c>
      <c r="I24" s="6" t="n">
        <v>0.2</v>
      </c>
      <c r="J24" s="5" t="n">
        <v>122.03</v>
      </c>
      <c r="K24" s="6" t="n">
        <v>0.09</v>
      </c>
      <c r="L24" s="5" t="n">
        <v>10.98</v>
      </c>
      <c r="M24" s="6" t="n">
        <v>0.09</v>
      </c>
      <c r="N24" s="5" t="n">
        <v>10.98</v>
      </c>
      <c r="O24" s="5" t="n">
        <f aca="false">J24+L24+N24</f>
        <v>143.99</v>
      </c>
      <c r="P24" s="5" t="n">
        <f aca="false">ROUND(H24*1.18/F24,2)</f>
        <v>9</v>
      </c>
      <c r="Q24" s="5" t="n">
        <f aca="false">ROUND(H24*0.8,2)</f>
        <v>122.03</v>
      </c>
      <c r="R24" s="5" t="n">
        <f aca="false">ROUND(Q24-J24,2)</f>
        <v>0</v>
      </c>
      <c r="S24" s="5" t="n">
        <f aca="false">ROUND(J24*9%,2)</f>
        <v>10.98</v>
      </c>
      <c r="T24" s="5" t="n">
        <f aca="false">ROUND(S24-L24,2)</f>
        <v>0</v>
      </c>
      <c r="U24" s="4" t="n">
        <v>1</v>
      </c>
      <c r="V24" s="4" t="s">
        <v>26</v>
      </c>
      <c r="W24" s="7"/>
      <c r="X24" s="5" t="n">
        <f aca="false">ROUND(J24/F24,2)</f>
        <v>6.1</v>
      </c>
    </row>
    <row r="25" customFormat="false" ht="15" hidden="false" customHeight="false" outlineLevel="0" collapsed="false">
      <c r="A25" s="3" t="n">
        <v>24</v>
      </c>
      <c r="B25" s="3" t="s">
        <v>78</v>
      </c>
      <c r="C25" s="3" t="s">
        <v>79</v>
      </c>
      <c r="D25" s="4" t="s">
        <v>77</v>
      </c>
      <c r="E25" s="5" t="n">
        <v>8</v>
      </c>
      <c r="F25" s="4" t="n">
        <v>10</v>
      </c>
      <c r="G25" s="5" t="n">
        <v>6.78</v>
      </c>
      <c r="H25" s="5" t="n">
        <v>67.8</v>
      </c>
      <c r="I25" s="6" t="n">
        <v>0.2</v>
      </c>
      <c r="J25" s="5" t="n">
        <v>54.24</v>
      </c>
      <c r="K25" s="6" t="n">
        <v>0.09</v>
      </c>
      <c r="L25" s="5" t="n">
        <v>4.88</v>
      </c>
      <c r="M25" s="6" t="n">
        <v>0.09</v>
      </c>
      <c r="N25" s="5" t="n">
        <v>4.88</v>
      </c>
      <c r="O25" s="5" t="n">
        <f aca="false">J25+L25+N25</f>
        <v>64</v>
      </c>
      <c r="P25" s="5" t="n">
        <f aca="false">ROUND(H25*1.18/F25,2)</f>
        <v>8</v>
      </c>
      <c r="Q25" s="5" t="n">
        <f aca="false">ROUND(H25*0.8,2)</f>
        <v>54.24</v>
      </c>
      <c r="R25" s="5" t="n">
        <f aca="false">ROUND(Q25-J25,2)</f>
        <v>0</v>
      </c>
      <c r="S25" s="5" t="n">
        <f aca="false">ROUND(J25*9%,2)</f>
        <v>4.88</v>
      </c>
      <c r="T25" s="5" t="n">
        <f aca="false">ROUND(S25-L25,2)</f>
        <v>0</v>
      </c>
      <c r="U25" s="4" t="n">
        <v>1</v>
      </c>
      <c r="V25" s="4" t="s">
        <v>26</v>
      </c>
      <c r="W25" s="7"/>
      <c r="X25" s="5" t="n">
        <f aca="false">ROUND(J25/F25,2)</f>
        <v>5.42</v>
      </c>
    </row>
    <row r="26" customFormat="false" ht="15" hidden="false" customHeight="false" outlineLevel="0" collapsed="false">
      <c r="A26" s="3" t="n">
        <v>25</v>
      </c>
      <c r="B26" s="3" t="s">
        <v>80</v>
      </c>
      <c r="C26" s="3" t="s">
        <v>81</v>
      </c>
      <c r="D26" s="4" t="s">
        <v>34</v>
      </c>
      <c r="E26" s="5" t="n">
        <v>22</v>
      </c>
      <c r="F26" s="4" t="n">
        <v>10</v>
      </c>
      <c r="G26" s="5" t="n">
        <v>18.64</v>
      </c>
      <c r="H26" s="5" t="n">
        <v>186.44</v>
      </c>
      <c r="I26" s="6" t="n">
        <v>0.2</v>
      </c>
      <c r="J26" s="5" t="n">
        <v>149.15</v>
      </c>
      <c r="K26" s="6" t="n">
        <v>0.09</v>
      </c>
      <c r="L26" s="5" t="n">
        <v>13.42</v>
      </c>
      <c r="M26" s="6" t="n">
        <v>0.09</v>
      </c>
      <c r="N26" s="5" t="n">
        <v>13.42</v>
      </c>
      <c r="O26" s="5" t="n">
        <f aca="false">J26+L26+N26</f>
        <v>175.99</v>
      </c>
      <c r="P26" s="5" t="n">
        <f aca="false">ROUND(H26*1.18/F26,2)</f>
        <v>22</v>
      </c>
      <c r="Q26" s="5" t="n">
        <f aca="false">ROUND(H26*0.8,2)</f>
        <v>149.15</v>
      </c>
      <c r="R26" s="5" t="n">
        <f aca="false">ROUND(Q26-J26,2)</f>
        <v>0</v>
      </c>
      <c r="S26" s="5" t="n">
        <f aca="false">ROUND(J26*9%,2)</f>
        <v>13.42</v>
      </c>
      <c r="T26" s="5" t="n">
        <f aca="false">ROUND(S26-L26,2)</f>
        <v>0</v>
      </c>
      <c r="U26" s="4" t="n">
        <v>1</v>
      </c>
      <c r="V26" s="4" t="s">
        <v>26</v>
      </c>
      <c r="W26" s="7"/>
      <c r="X26" s="5" t="n">
        <f aca="false">ROUND(J26/F26,2)</f>
        <v>14.92</v>
      </c>
    </row>
    <row r="27" customFormat="false" ht="15" hidden="false" customHeight="false" outlineLevel="0" collapsed="false">
      <c r="A27" s="3" t="n">
        <v>26</v>
      </c>
      <c r="B27" s="3" t="s">
        <v>82</v>
      </c>
      <c r="C27" s="3" t="s">
        <v>83</v>
      </c>
      <c r="D27" s="4" t="s">
        <v>77</v>
      </c>
      <c r="E27" s="5" t="n">
        <v>34</v>
      </c>
      <c r="F27" s="4" t="n">
        <v>40</v>
      </c>
      <c r="G27" s="5" t="n">
        <v>28.6</v>
      </c>
      <c r="H27" s="5" t="n">
        <v>1144.07</v>
      </c>
      <c r="I27" s="6" t="n">
        <v>0.2</v>
      </c>
      <c r="J27" s="5" t="n">
        <v>915.25</v>
      </c>
      <c r="K27" s="6" t="n">
        <v>0.09</v>
      </c>
      <c r="L27" s="5" t="n">
        <v>82.37</v>
      </c>
      <c r="M27" s="6" t="n">
        <v>0.09</v>
      </c>
      <c r="N27" s="5" t="n">
        <v>82.37</v>
      </c>
      <c r="O27" s="5" t="n">
        <f aca="false">J27+L27+N27</f>
        <v>1079.99</v>
      </c>
      <c r="P27" s="5" t="n">
        <f aca="false">ROUND(H27*1.18/F27,2)</f>
        <v>33.75</v>
      </c>
      <c r="Q27" s="5" t="n">
        <f aca="false">ROUND(H27*0.8,2)</f>
        <v>915.26</v>
      </c>
      <c r="R27" s="5" t="n">
        <f aca="false">ROUND(Q27-J27,2)</f>
        <v>0.01</v>
      </c>
      <c r="S27" s="5" t="n">
        <f aca="false">ROUND(J27*9%,2)</f>
        <v>82.37</v>
      </c>
      <c r="T27" s="5" t="n">
        <f aca="false">ROUND(S27-L27,2)</f>
        <v>0</v>
      </c>
      <c r="U27" s="4" t="n">
        <v>1</v>
      </c>
      <c r="V27" s="4" t="s">
        <v>26</v>
      </c>
      <c r="W27" s="7"/>
      <c r="X27" s="5" t="n">
        <f aca="false">ROUND(J27/F27,2)</f>
        <v>22.88</v>
      </c>
    </row>
    <row r="28" customFormat="false" ht="15" hidden="false" customHeight="false" outlineLevel="0" collapsed="false">
      <c r="A28" s="3" t="n">
        <v>27</v>
      </c>
      <c r="B28" s="3" t="s">
        <v>84</v>
      </c>
      <c r="C28" s="3" t="s">
        <v>85</v>
      </c>
      <c r="D28" s="4" t="s">
        <v>77</v>
      </c>
      <c r="E28" s="5" t="n">
        <v>28</v>
      </c>
      <c r="F28" s="4" t="n">
        <v>100</v>
      </c>
      <c r="G28" s="5" t="n">
        <v>23.31</v>
      </c>
      <c r="H28" s="5" t="n">
        <v>2330.51</v>
      </c>
      <c r="I28" s="6" t="n">
        <v>0.2</v>
      </c>
      <c r="J28" s="5" t="n">
        <v>1864.41</v>
      </c>
      <c r="K28" s="6" t="n">
        <v>0.09</v>
      </c>
      <c r="L28" s="5" t="n">
        <v>167.8</v>
      </c>
      <c r="M28" s="6" t="n">
        <v>0.09</v>
      </c>
      <c r="N28" s="5" t="n">
        <v>167.8</v>
      </c>
      <c r="O28" s="5" t="n">
        <f aca="false">J28+L28+N28</f>
        <v>2200.01</v>
      </c>
      <c r="P28" s="5" t="n">
        <f aca="false">ROUND(H28*1.18/F28,2)</f>
        <v>27.5</v>
      </c>
      <c r="Q28" s="5" t="n">
        <f aca="false">ROUND(H28*0.8,2)</f>
        <v>1864.41</v>
      </c>
      <c r="R28" s="5" t="n">
        <f aca="false">ROUND(Q28-J28,2)</f>
        <v>0</v>
      </c>
      <c r="S28" s="5" t="n">
        <f aca="false">ROUND(J28*9%,2)</f>
        <v>167.8</v>
      </c>
      <c r="T28" s="5" t="n">
        <f aca="false">ROUND(S28-L28,2)</f>
        <v>0</v>
      </c>
      <c r="U28" s="4" t="n">
        <v>1</v>
      </c>
      <c r="V28" s="4" t="s">
        <v>26</v>
      </c>
      <c r="W28" s="7"/>
      <c r="X28" s="5" t="n">
        <f aca="false">ROUND(J28/F28,2)</f>
        <v>18.64</v>
      </c>
    </row>
    <row r="29" customFormat="false" ht="15" hidden="false" customHeight="false" outlineLevel="0" collapsed="false">
      <c r="A29" s="3" t="n">
        <v>28</v>
      </c>
      <c r="B29" s="3" t="s">
        <v>86</v>
      </c>
      <c r="C29" s="3" t="s">
        <v>87</v>
      </c>
      <c r="D29" s="4" t="s">
        <v>34</v>
      </c>
      <c r="E29" s="5" t="n">
        <v>97</v>
      </c>
      <c r="F29" s="4" t="n">
        <v>5</v>
      </c>
      <c r="G29" s="5" t="n">
        <v>82.2</v>
      </c>
      <c r="H29" s="5" t="n">
        <v>411.02</v>
      </c>
      <c r="I29" s="6" t="n">
        <v>0.2</v>
      </c>
      <c r="J29" s="5" t="n">
        <v>328.81</v>
      </c>
      <c r="K29" s="6" t="n">
        <v>0.09</v>
      </c>
      <c r="L29" s="5" t="n">
        <v>29.59</v>
      </c>
      <c r="M29" s="6" t="n">
        <v>0.09</v>
      </c>
      <c r="N29" s="5" t="n">
        <v>29.59</v>
      </c>
      <c r="O29" s="5" t="n">
        <f aca="false">J29+L29+N29</f>
        <v>387.99</v>
      </c>
      <c r="P29" s="5" t="n">
        <f aca="false">ROUND(H29*1.18/F29,2)</f>
        <v>97</v>
      </c>
      <c r="Q29" s="5" t="n">
        <f aca="false">ROUND(H29*0.8,2)</f>
        <v>328.82</v>
      </c>
      <c r="R29" s="5" t="n">
        <f aca="false">ROUND(Q29-J29,2)</f>
        <v>0.01</v>
      </c>
      <c r="S29" s="5" t="n">
        <f aca="false">ROUND(J29*9%,2)</f>
        <v>29.59</v>
      </c>
      <c r="T29" s="5" t="n">
        <f aca="false">ROUND(S29-L29,2)</f>
        <v>0</v>
      </c>
      <c r="U29" s="4" t="n">
        <v>1</v>
      </c>
      <c r="V29" s="4" t="s">
        <v>26</v>
      </c>
      <c r="W29" s="7"/>
      <c r="X29" s="5" t="n">
        <f aca="false">ROUND(J29/F29,2)</f>
        <v>65.76</v>
      </c>
    </row>
    <row r="30" customFormat="false" ht="15" hidden="false" customHeight="false" outlineLevel="0" collapsed="false">
      <c r="A30" s="3" t="n">
        <v>29</v>
      </c>
      <c r="B30" s="3" t="s">
        <v>88</v>
      </c>
      <c r="C30" s="3" t="s">
        <v>89</v>
      </c>
      <c r="D30" s="4" t="s">
        <v>34</v>
      </c>
      <c r="E30" s="5" t="n">
        <v>84</v>
      </c>
      <c r="F30" s="4" t="n">
        <v>5</v>
      </c>
      <c r="G30" s="5" t="n">
        <v>71.19</v>
      </c>
      <c r="H30" s="5" t="n">
        <v>355.93</v>
      </c>
      <c r="I30" s="6" t="n">
        <v>0.2</v>
      </c>
      <c r="J30" s="5" t="n">
        <v>284.75</v>
      </c>
      <c r="K30" s="6" t="n">
        <v>0.09</v>
      </c>
      <c r="L30" s="5" t="n">
        <v>25.63</v>
      </c>
      <c r="M30" s="6" t="n">
        <v>0.09</v>
      </c>
      <c r="N30" s="5" t="n">
        <v>25.63</v>
      </c>
      <c r="O30" s="5" t="n">
        <f aca="false">J30+L30+N30</f>
        <v>336.01</v>
      </c>
      <c r="P30" s="5" t="n">
        <f aca="false">ROUND(H30*1.18/F30,2)</f>
        <v>84</v>
      </c>
      <c r="Q30" s="5" t="n">
        <f aca="false">ROUND(H30*0.8,2)</f>
        <v>284.74</v>
      </c>
      <c r="R30" s="5" t="n">
        <f aca="false">ROUND(Q30-J30,2)</f>
        <v>-0.01</v>
      </c>
      <c r="S30" s="5" t="n">
        <f aca="false">ROUND(J30*9%,2)</f>
        <v>25.63</v>
      </c>
      <c r="T30" s="5" t="n">
        <f aca="false">ROUND(S30-L30,2)</f>
        <v>0</v>
      </c>
      <c r="U30" s="4" t="n">
        <v>1</v>
      </c>
      <c r="V30" s="4" t="s">
        <v>26</v>
      </c>
      <c r="W30" s="7"/>
      <c r="X30" s="5" t="n">
        <f aca="false">ROUND(J30/F30,2)</f>
        <v>56.95</v>
      </c>
    </row>
    <row r="31" customFormat="false" ht="15" hidden="false" customHeight="false" outlineLevel="0" collapsed="false">
      <c r="A31" s="3" t="n">
        <v>30</v>
      </c>
      <c r="B31" s="3" t="s">
        <v>90</v>
      </c>
      <c r="C31" s="3" t="s">
        <v>91</v>
      </c>
      <c r="D31" s="4" t="s">
        <v>34</v>
      </c>
      <c r="E31" s="5" t="n">
        <v>848</v>
      </c>
      <c r="F31" s="4" t="n">
        <v>2</v>
      </c>
      <c r="G31" s="5" t="n">
        <v>718.64</v>
      </c>
      <c r="H31" s="5" t="n">
        <v>1437.29</v>
      </c>
      <c r="I31" s="6" t="n">
        <v>0.2</v>
      </c>
      <c r="J31" s="5" t="n">
        <v>1149.83</v>
      </c>
      <c r="K31" s="6" t="n">
        <v>0.09</v>
      </c>
      <c r="L31" s="5" t="n">
        <v>103.48</v>
      </c>
      <c r="M31" s="6" t="n">
        <v>0.09</v>
      </c>
      <c r="N31" s="5" t="n">
        <v>103.48</v>
      </c>
      <c r="O31" s="5" t="n">
        <f aca="false">J31+L31+N31</f>
        <v>1356.79</v>
      </c>
      <c r="P31" s="5" t="n">
        <f aca="false">ROUND(H31*1.18/F31,2)</f>
        <v>848</v>
      </c>
      <c r="Q31" s="5" t="n">
        <f aca="false">ROUND(H31*0.8,2)</f>
        <v>1149.83</v>
      </c>
      <c r="R31" s="5" t="n">
        <f aca="false">ROUND(Q31-J31,2)</f>
        <v>0</v>
      </c>
      <c r="S31" s="5" t="n">
        <f aca="false">ROUND(J31*9%,2)</f>
        <v>103.48</v>
      </c>
      <c r="T31" s="5" t="n">
        <f aca="false">ROUND(S31-L31,2)</f>
        <v>0</v>
      </c>
      <c r="U31" s="4" t="n">
        <v>1</v>
      </c>
      <c r="V31" s="4" t="s">
        <v>26</v>
      </c>
      <c r="W31" s="7"/>
      <c r="X31" s="5" t="n">
        <f aca="false">ROUND(J31/F31,2)</f>
        <v>574.92</v>
      </c>
    </row>
    <row r="32" customFormat="false" ht="15" hidden="false" customHeight="false" outlineLevel="0" collapsed="false">
      <c r="A32" s="3" t="n">
        <v>31</v>
      </c>
      <c r="B32" s="3" t="s">
        <v>92</v>
      </c>
      <c r="C32" s="3" t="s">
        <v>93</v>
      </c>
      <c r="D32" s="4" t="s">
        <v>34</v>
      </c>
      <c r="E32" s="5" t="n">
        <v>387</v>
      </c>
      <c r="F32" s="4" t="n">
        <v>2</v>
      </c>
      <c r="G32" s="5" t="n">
        <v>327.97</v>
      </c>
      <c r="H32" s="5" t="n">
        <v>655.93</v>
      </c>
      <c r="I32" s="6" t="n">
        <v>0.2</v>
      </c>
      <c r="J32" s="5" t="n">
        <v>524.75</v>
      </c>
      <c r="K32" s="6" t="n">
        <v>0.09</v>
      </c>
      <c r="L32" s="5" t="n">
        <v>47.23</v>
      </c>
      <c r="M32" s="6" t="n">
        <v>0.09</v>
      </c>
      <c r="N32" s="5" t="n">
        <v>47.23</v>
      </c>
      <c r="O32" s="5" t="n">
        <f aca="false">J32+L32+N32</f>
        <v>619.21</v>
      </c>
      <c r="P32" s="5" t="n">
        <f aca="false">ROUND(H32*1.18/F32,2)</f>
        <v>387</v>
      </c>
      <c r="Q32" s="5" t="n">
        <f aca="false">ROUND(H32*0.8,2)</f>
        <v>524.74</v>
      </c>
      <c r="R32" s="5" t="n">
        <f aca="false">ROUND(Q32-J32,2)</f>
        <v>-0.01</v>
      </c>
      <c r="S32" s="5" t="n">
        <f aca="false">ROUND(J32*9%,2)</f>
        <v>47.23</v>
      </c>
      <c r="T32" s="5" t="n">
        <f aca="false">ROUND(S32-L32,2)</f>
        <v>0</v>
      </c>
      <c r="U32" s="4" t="n">
        <v>1</v>
      </c>
      <c r="V32" s="4" t="s">
        <v>26</v>
      </c>
      <c r="W32" s="7"/>
      <c r="X32" s="5" t="n">
        <f aca="false">ROUND(J32/F32,2)</f>
        <v>262.38</v>
      </c>
    </row>
    <row r="33" customFormat="false" ht="15" hidden="false" customHeight="false" outlineLevel="0" collapsed="false">
      <c r="A33" s="3" t="n">
        <v>32</v>
      </c>
      <c r="B33" s="3" t="s">
        <v>94</v>
      </c>
      <c r="C33" s="3" t="s">
        <v>95</v>
      </c>
      <c r="D33" s="4" t="s">
        <v>34</v>
      </c>
      <c r="E33" s="5" t="n">
        <v>1253</v>
      </c>
      <c r="F33" s="4" t="n">
        <v>2</v>
      </c>
      <c r="G33" s="5" t="n">
        <v>1061.86</v>
      </c>
      <c r="H33" s="5" t="n">
        <v>2123.73</v>
      </c>
      <c r="I33" s="6" t="n">
        <v>0.2</v>
      </c>
      <c r="J33" s="5" t="n">
        <v>1698.98</v>
      </c>
      <c r="K33" s="6" t="n">
        <v>0.09</v>
      </c>
      <c r="L33" s="5" t="n">
        <v>152.91</v>
      </c>
      <c r="M33" s="6" t="n">
        <v>0.09</v>
      </c>
      <c r="N33" s="5" t="n">
        <v>152.91</v>
      </c>
      <c r="O33" s="5" t="n">
        <f aca="false">J33+L33+N33</f>
        <v>2004.8</v>
      </c>
      <c r="P33" s="5" t="n">
        <f aca="false">ROUND(H33*1.18/F33,2)</f>
        <v>1253</v>
      </c>
      <c r="Q33" s="5" t="n">
        <f aca="false">ROUND(H33*0.8,2)</f>
        <v>1698.98</v>
      </c>
      <c r="R33" s="5" t="n">
        <f aca="false">ROUND(Q33-J33,2)</f>
        <v>0</v>
      </c>
      <c r="S33" s="5" t="n">
        <f aca="false">ROUND(J33*9%,2)</f>
        <v>152.91</v>
      </c>
      <c r="T33" s="5" t="n">
        <f aca="false">ROUND(S33-L33,2)</f>
        <v>0</v>
      </c>
      <c r="U33" s="4" t="n">
        <v>1</v>
      </c>
      <c r="V33" s="4" t="s">
        <v>26</v>
      </c>
      <c r="W33" s="7"/>
      <c r="X33" s="5" t="n">
        <f aca="false">ROUND(J33/F33,2)</f>
        <v>849.49</v>
      </c>
    </row>
    <row r="34" customFormat="false" ht="15" hidden="false" customHeight="false" outlineLevel="0" collapsed="false">
      <c r="A34" s="3" t="n">
        <v>33</v>
      </c>
      <c r="B34" s="3" t="s">
        <v>96</v>
      </c>
      <c r="C34" s="3" t="s">
        <v>97</v>
      </c>
      <c r="D34" s="4" t="s">
        <v>34</v>
      </c>
      <c r="E34" s="5" t="n">
        <v>811</v>
      </c>
      <c r="F34" s="4" t="n">
        <v>2</v>
      </c>
      <c r="G34" s="5" t="n">
        <v>687.29</v>
      </c>
      <c r="H34" s="5" t="n">
        <v>1374.58</v>
      </c>
      <c r="I34" s="6" t="n">
        <v>0.2</v>
      </c>
      <c r="J34" s="5" t="n">
        <v>1099.66</v>
      </c>
      <c r="K34" s="6" t="n">
        <v>0.09</v>
      </c>
      <c r="L34" s="5" t="n">
        <v>98.97</v>
      </c>
      <c r="M34" s="6" t="n">
        <v>0.09</v>
      </c>
      <c r="N34" s="5" t="n">
        <v>98.97</v>
      </c>
      <c r="O34" s="5" t="n">
        <f aca="false">J34+L34+N34</f>
        <v>1297.6</v>
      </c>
      <c r="P34" s="5" t="n">
        <f aca="false">ROUND(H34*1.18/F34,2)</f>
        <v>811</v>
      </c>
      <c r="Q34" s="5" t="n">
        <f aca="false">ROUND(H34*0.8,2)</f>
        <v>1099.66</v>
      </c>
      <c r="R34" s="5" t="n">
        <f aca="false">ROUND(Q34-J34,2)</f>
        <v>0</v>
      </c>
      <c r="S34" s="5" t="n">
        <f aca="false">ROUND(J34*9%,2)</f>
        <v>98.97</v>
      </c>
      <c r="T34" s="5" t="n">
        <f aca="false">ROUND(S34-L34,2)</f>
        <v>0</v>
      </c>
      <c r="U34" s="4" t="n">
        <v>1</v>
      </c>
      <c r="V34" s="4" t="s">
        <v>26</v>
      </c>
      <c r="W34" s="7"/>
      <c r="X34" s="5" t="n">
        <f aca="false">ROUND(J34/F34,2)</f>
        <v>549.83</v>
      </c>
    </row>
    <row r="35" customFormat="false" ht="15" hidden="false" customHeight="false" outlineLevel="0" collapsed="false">
      <c r="A35" s="3" t="n">
        <v>34</v>
      </c>
      <c r="B35" s="3" t="s">
        <v>98</v>
      </c>
      <c r="C35" s="3" t="s">
        <v>99</v>
      </c>
      <c r="D35" s="4" t="s">
        <v>34</v>
      </c>
      <c r="E35" s="5" t="n">
        <v>645</v>
      </c>
      <c r="F35" s="4" t="n">
        <v>5</v>
      </c>
      <c r="G35" s="5" t="n">
        <v>546.61</v>
      </c>
      <c r="H35" s="5" t="n">
        <v>2733.05</v>
      </c>
      <c r="I35" s="6" t="n">
        <v>0.2</v>
      </c>
      <c r="J35" s="5" t="n">
        <v>2186.44</v>
      </c>
      <c r="K35" s="6" t="n">
        <v>0.09</v>
      </c>
      <c r="L35" s="5" t="n">
        <v>196.78</v>
      </c>
      <c r="M35" s="6" t="n">
        <v>0.09</v>
      </c>
      <c r="N35" s="5" t="n">
        <v>196.78</v>
      </c>
      <c r="O35" s="5" t="n">
        <f aca="false">J35+L35+N35</f>
        <v>2580</v>
      </c>
      <c r="P35" s="5" t="n">
        <f aca="false">ROUND(H35*1.18/F35,2)</f>
        <v>645</v>
      </c>
      <c r="Q35" s="5" t="n">
        <f aca="false">ROUND(H35*0.8,2)</f>
        <v>2186.44</v>
      </c>
      <c r="R35" s="5" t="n">
        <f aca="false">ROUND(Q35-J35,2)</f>
        <v>0</v>
      </c>
      <c r="S35" s="5" t="n">
        <f aca="false">ROUND(J35*9%,2)</f>
        <v>196.78</v>
      </c>
      <c r="T35" s="5" t="n">
        <f aca="false">ROUND(S35-L35,2)</f>
        <v>0</v>
      </c>
      <c r="U35" s="4" t="n">
        <v>1</v>
      </c>
      <c r="V35" s="4" t="s">
        <v>26</v>
      </c>
      <c r="W35" s="7"/>
      <c r="X35" s="5" t="n">
        <f aca="false">ROUND(J35/F35,2)</f>
        <v>437.29</v>
      </c>
    </row>
    <row r="36" customFormat="false" ht="15" hidden="false" customHeight="false" outlineLevel="0" collapsed="false">
      <c r="A36" s="3" t="n">
        <v>35</v>
      </c>
      <c r="B36" s="3" t="s">
        <v>100</v>
      </c>
      <c r="C36" s="3" t="s">
        <v>101</v>
      </c>
      <c r="D36" s="4" t="s">
        <v>34</v>
      </c>
      <c r="E36" s="5" t="n">
        <v>74</v>
      </c>
      <c r="F36" s="4" t="n">
        <v>100</v>
      </c>
      <c r="G36" s="5" t="n">
        <v>62.29</v>
      </c>
      <c r="H36" s="5" t="n">
        <v>6228.81</v>
      </c>
      <c r="I36" s="6" t="n">
        <v>0.2</v>
      </c>
      <c r="J36" s="5" t="n">
        <v>4983.05</v>
      </c>
      <c r="K36" s="6" t="n">
        <v>0.09</v>
      </c>
      <c r="L36" s="5" t="n">
        <v>448.47</v>
      </c>
      <c r="M36" s="6" t="n">
        <v>0.09</v>
      </c>
      <c r="N36" s="5" t="n">
        <v>448.47</v>
      </c>
      <c r="O36" s="5" t="n">
        <f aca="false">J36+L36+N36</f>
        <v>5879.99</v>
      </c>
      <c r="P36" s="5" t="n">
        <f aca="false">ROUND(H36*1.18/F36,2)</f>
        <v>73.5</v>
      </c>
      <c r="Q36" s="5" t="n">
        <f aca="false">ROUND(H36*0.8,2)</f>
        <v>4983.05</v>
      </c>
      <c r="R36" s="5" t="n">
        <f aca="false">ROUND(Q36-J36,2)</f>
        <v>0</v>
      </c>
      <c r="S36" s="5" t="n">
        <f aca="false">ROUND(J36*9%,2)</f>
        <v>448.47</v>
      </c>
      <c r="T36" s="5" t="n">
        <f aca="false">ROUND(S36-L36,2)</f>
        <v>0</v>
      </c>
      <c r="U36" s="4" t="n">
        <v>2</v>
      </c>
      <c r="V36" s="4" t="s">
        <v>26</v>
      </c>
      <c r="W36" s="7"/>
      <c r="X36" s="5" t="n">
        <f aca="false">ROUND(J36/F36,2)</f>
        <v>49.83</v>
      </c>
    </row>
    <row r="37" customFormat="false" ht="15" hidden="false" customHeight="false" outlineLevel="0" collapsed="false">
      <c r="A37" s="3" t="n">
        <v>36</v>
      </c>
      <c r="B37" s="3" t="s">
        <v>102</v>
      </c>
      <c r="C37" s="3" t="s">
        <v>103</v>
      </c>
      <c r="D37" s="4" t="s">
        <v>34</v>
      </c>
      <c r="E37" s="5" t="n">
        <v>47</v>
      </c>
      <c r="F37" s="4" t="n">
        <v>10</v>
      </c>
      <c r="G37" s="5" t="n">
        <v>39.83</v>
      </c>
      <c r="H37" s="5" t="n">
        <v>398.31</v>
      </c>
      <c r="I37" s="6" t="n">
        <v>0.2</v>
      </c>
      <c r="J37" s="5" t="n">
        <v>318.64</v>
      </c>
      <c r="K37" s="6" t="n">
        <v>0.09</v>
      </c>
      <c r="L37" s="5" t="n">
        <v>28.68</v>
      </c>
      <c r="M37" s="6" t="n">
        <v>0.09</v>
      </c>
      <c r="N37" s="5" t="n">
        <v>28.68</v>
      </c>
      <c r="O37" s="5" t="n">
        <f aca="false">J37+L37+N37</f>
        <v>376</v>
      </c>
      <c r="P37" s="5" t="n">
        <f aca="false">ROUND(H37*1.18/F37,2)</f>
        <v>47</v>
      </c>
      <c r="Q37" s="5" t="n">
        <f aca="false">ROUND(H37*0.8,2)</f>
        <v>318.65</v>
      </c>
      <c r="R37" s="5" t="n">
        <f aca="false">ROUND(Q37-J37,2)</f>
        <v>0.01</v>
      </c>
      <c r="S37" s="5" t="n">
        <f aca="false">ROUND(J37*9%,2)</f>
        <v>28.68</v>
      </c>
      <c r="T37" s="5" t="n">
        <f aca="false">ROUND(S37-L37,2)</f>
        <v>0</v>
      </c>
      <c r="U37" s="4" t="n">
        <v>2</v>
      </c>
      <c r="V37" s="4" t="s">
        <v>26</v>
      </c>
      <c r="W37" s="7"/>
      <c r="X37" s="5" t="n">
        <f aca="false">ROUND(J37/F37,2)</f>
        <v>31.86</v>
      </c>
    </row>
    <row r="38" customFormat="false" ht="15" hidden="false" customHeight="false" outlineLevel="0" collapsed="false">
      <c r="A38" s="3" t="n">
        <v>37</v>
      </c>
      <c r="B38" s="3" t="s">
        <v>104</v>
      </c>
      <c r="C38" s="3" t="s">
        <v>105</v>
      </c>
      <c r="D38" s="4" t="s">
        <v>34</v>
      </c>
      <c r="E38" s="5" t="n">
        <v>51</v>
      </c>
      <c r="F38" s="4" t="n">
        <v>10</v>
      </c>
      <c r="G38" s="5" t="n">
        <v>43.22</v>
      </c>
      <c r="H38" s="5" t="n">
        <v>432.2</v>
      </c>
      <c r="I38" s="6" t="n">
        <v>0.2</v>
      </c>
      <c r="J38" s="5" t="n">
        <v>345.76</v>
      </c>
      <c r="K38" s="6" t="n">
        <v>0.09</v>
      </c>
      <c r="L38" s="5" t="n">
        <v>31.12</v>
      </c>
      <c r="M38" s="6" t="n">
        <v>0.09</v>
      </c>
      <c r="N38" s="5" t="n">
        <v>31.12</v>
      </c>
      <c r="O38" s="5" t="n">
        <f aca="false">J38+L38+N38</f>
        <v>408</v>
      </c>
      <c r="P38" s="5" t="n">
        <f aca="false">ROUND(H38*1.18/F38,2)</f>
        <v>51</v>
      </c>
      <c r="Q38" s="5" t="n">
        <f aca="false">ROUND(H38*0.8,2)</f>
        <v>345.76</v>
      </c>
      <c r="R38" s="5" t="n">
        <f aca="false">ROUND(Q38-J38,2)</f>
        <v>0</v>
      </c>
      <c r="S38" s="5" t="n">
        <f aca="false">ROUND(J38*9%,2)</f>
        <v>31.12</v>
      </c>
      <c r="T38" s="5" t="n">
        <f aca="false">ROUND(S38-L38,2)</f>
        <v>0</v>
      </c>
      <c r="U38" s="4" t="n">
        <v>2</v>
      </c>
      <c r="V38" s="4" t="s">
        <v>26</v>
      </c>
      <c r="W38" s="7"/>
      <c r="X38" s="5" t="n">
        <f aca="false">ROUND(J38/F38,2)</f>
        <v>34.58</v>
      </c>
    </row>
    <row r="39" customFormat="false" ht="15" hidden="false" customHeight="false" outlineLevel="0" collapsed="false">
      <c r="A39" s="3" t="n">
        <v>38</v>
      </c>
      <c r="B39" s="3" t="s">
        <v>106</v>
      </c>
      <c r="C39" s="3" t="s">
        <v>107</v>
      </c>
      <c r="D39" s="4" t="s">
        <v>34</v>
      </c>
      <c r="E39" s="5" t="n">
        <v>62</v>
      </c>
      <c r="F39" s="4" t="n">
        <v>10</v>
      </c>
      <c r="G39" s="5" t="n">
        <v>52.54</v>
      </c>
      <c r="H39" s="5" t="n">
        <v>525.42</v>
      </c>
      <c r="I39" s="6" t="n">
        <v>0.2</v>
      </c>
      <c r="J39" s="5" t="n">
        <v>420.34</v>
      </c>
      <c r="K39" s="6" t="n">
        <v>0.09</v>
      </c>
      <c r="L39" s="5" t="n">
        <v>37.83</v>
      </c>
      <c r="M39" s="6" t="n">
        <v>0.09</v>
      </c>
      <c r="N39" s="5" t="n">
        <v>37.83</v>
      </c>
      <c r="O39" s="5" t="n">
        <f aca="false">J39+L39+N39</f>
        <v>496</v>
      </c>
      <c r="P39" s="5" t="n">
        <f aca="false">ROUND(H39*1.18/F39,2)</f>
        <v>62</v>
      </c>
      <c r="Q39" s="5" t="n">
        <f aca="false">ROUND(H39*0.8,2)</f>
        <v>420.34</v>
      </c>
      <c r="R39" s="5" t="n">
        <f aca="false">ROUND(Q39-J39,2)</f>
        <v>0</v>
      </c>
      <c r="S39" s="5" t="n">
        <f aca="false">ROUND(J39*9%,2)</f>
        <v>37.83</v>
      </c>
      <c r="T39" s="5" t="n">
        <f aca="false">ROUND(S39-L39,2)</f>
        <v>0</v>
      </c>
      <c r="U39" s="4" t="n">
        <v>2</v>
      </c>
      <c r="V39" s="4" t="s">
        <v>26</v>
      </c>
      <c r="W39" s="7"/>
      <c r="X39" s="5" t="n">
        <f aca="false">ROUND(J39/F39,2)</f>
        <v>42.03</v>
      </c>
    </row>
    <row r="40" customFormat="false" ht="15" hidden="false" customHeight="false" outlineLevel="0" collapsed="false">
      <c r="A40" s="3" t="n">
        <v>39</v>
      </c>
      <c r="B40" s="3" t="s">
        <v>108</v>
      </c>
      <c r="C40" s="3" t="s">
        <v>109</v>
      </c>
      <c r="D40" s="4" t="s">
        <v>34</v>
      </c>
      <c r="E40" s="5" t="n">
        <v>230</v>
      </c>
      <c r="F40" s="4" t="n">
        <v>5</v>
      </c>
      <c r="G40" s="5" t="n">
        <v>194.92</v>
      </c>
      <c r="H40" s="5" t="n">
        <v>974.58</v>
      </c>
      <c r="I40" s="6" t="n">
        <v>0.2</v>
      </c>
      <c r="J40" s="5" t="n">
        <v>779.66</v>
      </c>
      <c r="K40" s="6" t="n">
        <v>0.09</v>
      </c>
      <c r="L40" s="5" t="n">
        <v>70.17</v>
      </c>
      <c r="M40" s="6" t="n">
        <v>0.09</v>
      </c>
      <c r="N40" s="5" t="n">
        <v>70.17</v>
      </c>
      <c r="O40" s="5" t="n">
        <f aca="false">J40+L40+N40</f>
        <v>920</v>
      </c>
      <c r="P40" s="5" t="n">
        <f aca="false">ROUND(H40*1.18/F40,2)</f>
        <v>230</v>
      </c>
      <c r="Q40" s="5" t="n">
        <f aca="false">ROUND(H40*0.8,2)</f>
        <v>779.66</v>
      </c>
      <c r="R40" s="5" t="n">
        <f aca="false">ROUND(Q40-J40,2)</f>
        <v>0</v>
      </c>
      <c r="S40" s="5" t="n">
        <f aca="false">ROUND(J40*9%,2)</f>
        <v>70.17</v>
      </c>
      <c r="T40" s="5" t="n">
        <f aca="false">ROUND(S40-L40,2)</f>
        <v>0</v>
      </c>
      <c r="U40" s="4" t="n">
        <v>2</v>
      </c>
      <c r="V40" s="4" t="s">
        <v>26</v>
      </c>
      <c r="W40" s="7"/>
      <c r="X40" s="5" t="n">
        <f aca="false">ROUND(J40/F40,2)</f>
        <v>155.93</v>
      </c>
    </row>
    <row r="41" customFormat="false" ht="15" hidden="false" customHeight="false" outlineLevel="0" collapsed="false">
      <c r="A41" s="3" t="n">
        <v>40</v>
      </c>
      <c r="B41" s="3" t="s">
        <v>110</v>
      </c>
      <c r="C41" s="3" t="s">
        <v>111</v>
      </c>
      <c r="D41" s="4" t="s">
        <v>34</v>
      </c>
      <c r="E41" s="5" t="n">
        <v>207</v>
      </c>
      <c r="F41" s="4" t="n">
        <v>5</v>
      </c>
      <c r="G41" s="5" t="n">
        <v>175.42</v>
      </c>
      <c r="H41" s="5" t="n">
        <v>877.12</v>
      </c>
      <c r="I41" s="6" t="n">
        <v>0.2</v>
      </c>
      <c r="J41" s="5" t="n">
        <v>701.69</v>
      </c>
      <c r="K41" s="6" t="n">
        <v>0.09</v>
      </c>
      <c r="L41" s="5" t="n">
        <v>63.15</v>
      </c>
      <c r="M41" s="6" t="n">
        <v>0.09</v>
      </c>
      <c r="N41" s="5" t="n">
        <v>63.15</v>
      </c>
      <c r="O41" s="5" t="n">
        <f aca="false">J41+L41+N41</f>
        <v>827.99</v>
      </c>
      <c r="P41" s="5" t="n">
        <f aca="false">ROUND(H41*1.18/F41,2)</f>
        <v>207</v>
      </c>
      <c r="Q41" s="5" t="n">
        <f aca="false">ROUND(H41*0.8,2)</f>
        <v>701.7</v>
      </c>
      <c r="R41" s="5" t="n">
        <f aca="false">ROUND(Q41-J41,2)</f>
        <v>0.01</v>
      </c>
      <c r="S41" s="5" t="n">
        <f aca="false">ROUND(J41*9%,2)</f>
        <v>63.15</v>
      </c>
      <c r="T41" s="5" t="n">
        <f aca="false">ROUND(S41-L41,2)</f>
        <v>0</v>
      </c>
      <c r="U41" s="4" t="n">
        <v>2</v>
      </c>
      <c r="V41" s="4" t="s">
        <v>26</v>
      </c>
      <c r="W41" s="7"/>
      <c r="X41" s="5" t="n">
        <f aca="false">ROUND(J41/F41,2)</f>
        <v>140.34</v>
      </c>
    </row>
    <row r="42" customFormat="false" ht="15" hidden="false" customHeight="false" outlineLevel="0" collapsed="false">
      <c r="A42" s="3" t="n">
        <v>41</v>
      </c>
      <c r="B42" s="3" t="s">
        <v>112</v>
      </c>
      <c r="C42" s="3" t="s">
        <v>113</v>
      </c>
      <c r="D42" s="4" t="s">
        <v>34</v>
      </c>
      <c r="E42" s="5" t="n">
        <v>258</v>
      </c>
      <c r="F42" s="4" t="n">
        <v>5</v>
      </c>
      <c r="G42" s="5" t="n">
        <v>218.64</v>
      </c>
      <c r="H42" s="5" t="n">
        <v>1093.22</v>
      </c>
      <c r="I42" s="6" t="n">
        <v>0.2</v>
      </c>
      <c r="J42" s="5" t="n">
        <v>874.58</v>
      </c>
      <c r="K42" s="6" t="n">
        <v>0.09</v>
      </c>
      <c r="L42" s="5" t="n">
        <v>78.71</v>
      </c>
      <c r="M42" s="6" t="n">
        <v>0.09</v>
      </c>
      <c r="N42" s="5" t="n">
        <v>78.71</v>
      </c>
      <c r="O42" s="5" t="n">
        <f aca="false">J42+L42+N42</f>
        <v>1032</v>
      </c>
      <c r="P42" s="5" t="n">
        <f aca="false">ROUND(H42*1.18/F42,2)</f>
        <v>258</v>
      </c>
      <c r="Q42" s="5" t="n">
        <f aca="false">ROUND(H42*0.8,2)</f>
        <v>874.58</v>
      </c>
      <c r="R42" s="5" t="n">
        <f aca="false">ROUND(Q42-J42,2)</f>
        <v>0</v>
      </c>
      <c r="S42" s="5" t="n">
        <f aca="false">ROUND(J42*9%,2)</f>
        <v>78.71</v>
      </c>
      <c r="T42" s="5" t="n">
        <f aca="false">ROUND(S42-L42,2)</f>
        <v>0</v>
      </c>
      <c r="U42" s="4" t="n">
        <v>2</v>
      </c>
      <c r="V42" s="4" t="s">
        <v>26</v>
      </c>
      <c r="W42" s="7"/>
      <c r="X42" s="5" t="n">
        <f aca="false">ROUND(J42/F42,2)</f>
        <v>174.92</v>
      </c>
    </row>
    <row r="43" customFormat="false" ht="15" hidden="false" customHeight="false" outlineLevel="0" collapsed="false">
      <c r="A43" s="3" t="n">
        <v>42</v>
      </c>
      <c r="B43" s="3" t="s">
        <v>114</v>
      </c>
      <c r="C43" s="3" t="s">
        <v>115</v>
      </c>
      <c r="D43" s="4" t="s">
        <v>34</v>
      </c>
      <c r="E43" s="5" t="n">
        <v>59</v>
      </c>
      <c r="F43" s="4" t="n">
        <v>5</v>
      </c>
      <c r="G43" s="5" t="n">
        <v>50</v>
      </c>
      <c r="H43" s="5" t="n">
        <v>250</v>
      </c>
      <c r="I43" s="6" t="n">
        <v>0.2</v>
      </c>
      <c r="J43" s="5" t="n">
        <v>200</v>
      </c>
      <c r="K43" s="6" t="n">
        <v>0.09</v>
      </c>
      <c r="L43" s="5" t="n">
        <v>18</v>
      </c>
      <c r="M43" s="6" t="n">
        <v>0.09</v>
      </c>
      <c r="N43" s="5" t="n">
        <v>18</v>
      </c>
      <c r="O43" s="5" t="n">
        <f aca="false">J43+L43+N43</f>
        <v>236</v>
      </c>
      <c r="P43" s="5" t="n">
        <f aca="false">ROUND(H43*1.18/F43,2)</f>
        <v>59</v>
      </c>
      <c r="Q43" s="5" t="n">
        <f aca="false">ROUND(H43*0.8,2)</f>
        <v>200</v>
      </c>
      <c r="R43" s="5" t="n">
        <f aca="false">ROUND(Q43-J43,2)</f>
        <v>0</v>
      </c>
      <c r="S43" s="5" t="n">
        <f aca="false">ROUND(J43*9%,2)</f>
        <v>18</v>
      </c>
      <c r="T43" s="5" t="n">
        <f aca="false">ROUND(S43-L43,2)</f>
        <v>0</v>
      </c>
      <c r="U43" s="4" t="n">
        <v>2</v>
      </c>
      <c r="V43" s="4" t="s">
        <v>26</v>
      </c>
      <c r="W43" s="7"/>
      <c r="X43" s="5" t="n">
        <f aca="false">ROUND(J43/F43,2)</f>
        <v>40</v>
      </c>
    </row>
    <row r="44" customFormat="false" ht="15" hidden="false" customHeight="false" outlineLevel="0" collapsed="false">
      <c r="A44" s="3" t="n">
        <v>43</v>
      </c>
      <c r="B44" s="3" t="s">
        <v>116</v>
      </c>
      <c r="C44" s="3" t="s">
        <v>117</v>
      </c>
      <c r="D44" s="4" t="s">
        <v>34</v>
      </c>
      <c r="E44" s="5" t="n">
        <v>60</v>
      </c>
      <c r="F44" s="4" t="n">
        <v>5</v>
      </c>
      <c r="G44" s="5" t="n">
        <v>50.85</v>
      </c>
      <c r="H44" s="5" t="n">
        <v>254.24</v>
      </c>
      <c r="I44" s="6" t="n">
        <v>0.2</v>
      </c>
      <c r="J44" s="5" t="n">
        <v>203.39</v>
      </c>
      <c r="K44" s="6" t="n">
        <v>0.09</v>
      </c>
      <c r="L44" s="5" t="n">
        <v>18.31</v>
      </c>
      <c r="M44" s="6" t="n">
        <v>0.09</v>
      </c>
      <c r="N44" s="5" t="n">
        <v>18.31</v>
      </c>
      <c r="O44" s="5" t="n">
        <f aca="false">J44+L44+N44</f>
        <v>240.01</v>
      </c>
      <c r="P44" s="5" t="n">
        <f aca="false">ROUND(H44*1.18/F44,2)</f>
        <v>60</v>
      </c>
      <c r="Q44" s="5" t="n">
        <f aca="false">ROUND(H44*0.8,2)</f>
        <v>203.39</v>
      </c>
      <c r="R44" s="5" t="n">
        <f aca="false">ROUND(Q44-J44,2)</f>
        <v>0</v>
      </c>
      <c r="S44" s="5" t="n">
        <f aca="false">ROUND(J44*9%,2)</f>
        <v>18.31</v>
      </c>
      <c r="T44" s="5" t="n">
        <f aca="false">ROUND(S44-L44,2)</f>
        <v>0</v>
      </c>
      <c r="U44" s="4" t="n">
        <v>2</v>
      </c>
      <c r="V44" s="4" t="s">
        <v>26</v>
      </c>
      <c r="W44" s="7"/>
      <c r="X44" s="5" t="n">
        <f aca="false">ROUND(J44/F44,2)</f>
        <v>40.68</v>
      </c>
    </row>
    <row r="45" customFormat="false" ht="15" hidden="false" customHeight="false" outlineLevel="0" collapsed="false">
      <c r="A45" s="3" t="n">
        <v>44</v>
      </c>
      <c r="B45" s="3" t="s">
        <v>118</v>
      </c>
      <c r="C45" s="3" t="s">
        <v>119</v>
      </c>
      <c r="D45" s="4" t="s">
        <v>34</v>
      </c>
      <c r="E45" s="5" t="n">
        <v>101</v>
      </c>
      <c r="F45" s="4" t="n">
        <v>5</v>
      </c>
      <c r="G45" s="5" t="n">
        <v>85.59</v>
      </c>
      <c r="H45" s="5" t="n">
        <v>427.97</v>
      </c>
      <c r="I45" s="6" t="n">
        <v>0.2</v>
      </c>
      <c r="J45" s="5" t="n">
        <v>342.37</v>
      </c>
      <c r="K45" s="6" t="n">
        <v>0.09</v>
      </c>
      <c r="L45" s="5" t="n">
        <v>30.81</v>
      </c>
      <c r="M45" s="6" t="n">
        <v>0.09</v>
      </c>
      <c r="N45" s="5" t="n">
        <v>30.81</v>
      </c>
      <c r="O45" s="5" t="n">
        <f aca="false">J45+L45+N45</f>
        <v>403.99</v>
      </c>
      <c r="P45" s="5" t="n">
        <f aca="false">ROUND(H45*1.18/F45,2)</f>
        <v>101</v>
      </c>
      <c r="Q45" s="5" t="n">
        <f aca="false">ROUND(H45*0.8,2)</f>
        <v>342.38</v>
      </c>
      <c r="R45" s="5" t="n">
        <f aca="false">ROUND(Q45-J45,2)</f>
        <v>0.01</v>
      </c>
      <c r="S45" s="5" t="n">
        <f aca="false">ROUND(J45*9%,2)</f>
        <v>30.81</v>
      </c>
      <c r="T45" s="5" t="n">
        <f aca="false">ROUND(S45-L45,2)</f>
        <v>0</v>
      </c>
      <c r="U45" s="4" t="n">
        <v>2</v>
      </c>
      <c r="V45" s="4" t="s">
        <v>26</v>
      </c>
      <c r="W45" s="7"/>
      <c r="X45" s="5" t="n">
        <f aca="false">ROUND(J45/F45,2)</f>
        <v>68.47</v>
      </c>
    </row>
    <row r="46" customFormat="false" ht="15" hidden="false" customHeight="false" outlineLevel="0" collapsed="false">
      <c r="A46" s="3" t="n">
        <v>45</v>
      </c>
      <c r="B46" s="3" t="s">
        <v>120</v>
      </c>
      <c r="C46" s="3" t="s">
        <v>121</v>
      </c>
      <c r="D46" s="4" t="s">
        <v>34</v>
      </c>
      <c r="E46" s="5" t="n">
        <v>719</v>
      </c>
      <c r="F46" s="4" t="n">
        <v>4</v>
      </c>
      <c r="G46" s="5" t="n">
        <v>609.32</v>
      </c>
      <c r="H46" s="5" t="n">
        <v>2437.29</v>
      </c>
      <c r="I46" s="6" t="n">
        <v>0.2</v>
      </c>
      <c r="J46" s="5" t="n">
        <v>1949.83</v>
      </c>
      <c r="K46" s="6" t="n">
        <v>0.09</v>
      </c>
      <c r="L46" s="5" t="n">
        <v>175.48</v>
      </c>
      <c r="M46" s="6" t="n">
        <v>0.09</v>
      </c>
      <c r="N46" s="5" t="n">
        <v>175.48</v>
      </c>
      <c r="O46" s="5" t="n">
        <f aca="false">J46+L46+N46</f>
        <v>2300.79</v>
      </c>
      <c r="P46" s="5" t="n">
        <f aca="false">ROUND(H46*1.18/F46,2)</f>
        <v>719</v>
      </c>
      <c r="Q46" s="5" t="n">
        <f aca="false">ROUND(H46*0.8,2)</f>
        <v>1949.83</v>
      </c>
      <c r="R46" s="5" t="n">
        <f aca="false">ROUND(Q46-J46,2)</f>
        <v>0</v>
      </c>
      <c r="S46" s="5" t="n">
        <f aca="false">ROUND(J46*9%,2)</f>
        <v>175.48</v>
      </c>
      <c r="T46" s="5" t="n">
        <f aca="false">ROUND(S46-L46,2)</f>
        <v>0</v>
      </c>
      <c r="U46" s="4" t="n">
        <v>2</v>
      </c>
      <c r="V46" s="4" t="s">
        <v>26</v>
      </c>
      <c r="W46" s="7"/>
      <c r="X46" s="5" t="n">
        <f aca="false">ROUND(J46/F46,2)</f>
        <v>487.46</v>
      </c>
    </row>
    <row r="47" customFormat="false" ht="15" hidden="false" customHeight="false" outlineLevel="0" collapsed="false">
      <c r="A47" s="3" t="n">
        <v>46</v>
      </c>
      <c r="B47" s="3" t="s">
        <v>122</v>
      </c>
      <c r="C47" s="3" t="s">
        <v>123</v>
      </c>
      <c r="D47" s="4" t="s">
        <v>34</v>
      </c>
      <c r="E47" s="5" t="n">
        <v>92</v>
      </c>
      <c r="F47" s="4" t="n">
        <v>5</v>
      </c>
      <c r="G47" s="5" t="n">
        <v>77.97</v>
      </c>
      <c r="H47" s="5" t="n">
        <v>389.83</v>
      </c>
      <c r="I47" s="6" t="n">
        <v>0.2</v>
      </c>
      <c r="J47" s="5" t="n">
        <v>311.86</v>
      </c>
      <c r="K47" s="6" t="n">
        <v>0.09</v>
      </c>
      <c r="L47" s="5" t="n">
        <v>28.07</v>
      </c>
      <c r="M47" s="6" t="n">
        <v>0.09</v>
      </c>
      <c r="N47" s="5" t="n">
        <v>28.07</v>
      </c>
      <c r="O47" s="5" t="n">
        <f aca="false">J47+L47+N47</f>
        <v>368</v>
      </c>
      <c r="P47" s="5" t="n">
        <f aca="false">ROUND(H47*1.18/F47,2)</f>
        <v>92</v>
      </c>
      <c r="Q47" s="5" t="n">
        <f aca="false">ROUND(H47*0.8,2)</f>
        <v>311.86</v>
      </c>
      <c r="R47" s="5" t="n">
        <f aca="false">ROUND(Q47-J47,2)</f>
        <v>0</v>
      </c>
      <c r="S47" s="5" t="n">
        <f aca="false">ROUND(J47*9%,2)</f>
        <v>28.07</v>
      </c>
      <c r="T47" s="5" t="n">
        <f aca="false">ROUND(S47-L47,2)</f>
        <v>0</v>
      </c>
      <c r="U47" s="4" t="n">
        <v>2</v>
      </c>
      <c r="V47" s="4" t="s">
        <v>26</v>
      </c>
      <c r="W47" s="7"/>
      <c r="X47" s="5" t="n">
        <f aca="false">ROUND(J47/F47,2)</f>
        <v>62.37</v>
      </c>
    </row>
    <row r="48" customFormat="false" ht="15" hidden="false" customHeight="false" outlineLevel="0" collapsed="false">
      <c r="A48" s="3" t="n">
        <v>47</v>
      </c>
      <c r="B48" s="3" t="s">
        <v>124</v>
      </c>
      <c r="C48" s="3" t="s">
        <v>125</v>
      </c>
      <c r="D48" s="4" t="s">
        <v>34</v>
      </c>
      <c r="E48" s="5" t="n">
        <v>92</v>
      </c>
      <c r="F48" s="4" t="n">
        <v>50</v>
      </c>
      <c r="G48" s="5" t="n">
        <v>77.97</v>
      </c>
      <c r="H48" s="5" t="n">
        <v>3898.31</v>
      </c>
      <c r="I48" s="6" t="n">
        <v>0.2</v>
      </c>
      <c r="J48" s="5" t="n">
        <v>3118.64</v>
      </c>
      <c r="K48" s="6" t="n">
        <v>0.09</v>
      </c>
      <c r="L48" s="5" t="n">
        <v>280.68</v>
      </c>
      <c r="M48" s="6" t="n">
        <v>0.09</v>
      </c>
      <c r="N48" s="5" t="n">
        <v>280.68</v>
      </c>
      <c r="O48" s="5" t="n">
        <f aca="false">J48+L48+N48</f>
        <v>3680</v>
      </c>
      <c r="P48" s="5" t="n">
        <f aca="false">ROUND(H48*1.18/F48,2)</f>
        <v>92</v>
      </c>
      <c r="Q48" s="5" t="n">
        <f aca="false">ROUND(H48*0.8,2)</f>
        <v>3118.65</v>
      </c>
      <c r="R48" s="5" t="n">
        <f aca="false">ROUND(Q48-J48,2)</f>
        <v>0.01</v>
      </c>
      <c r="S48" s="5" t="n">
        <f aca="false">ROUND(J48*9%,2)</f>
        <v>280.68</v>
      </c>
      <c r="T48" s="5" t="n">
        <f aca="false">ROUND(S48-L48,2)</f>
        <v>0</v>
      </c>
      <c r="U48" s="4" t="n">
        <v>2</v>
      </c>
      <c r="V48" s="4" t="s">
        <v>26</v>
      </c>
      <c r="W48" s="7"/>
      <c r="X48" s="5" t="n">
        <f aca="false">ROUND(J48/F48,2)</f>
        <v>62.37</v>
      </c>
    </row>
    <row r="49" customFormat="false" ht="15" hidden="false" customHeight="false" outlineLevel="0" collapsed="false">
      <c r="A49" s="3" t="n">
        <v>48</v>
      </c>
      <c r="B49" s="3" t="s">
        <v>126</v>
      </c>
      <c r="C49" s="3" t="s">
        <v>127</v>
      </c>
      <c r="D49" s="4" t="s">
        <v>34</v>
      </c>
      <c r="E49" s="5" t="n">
        <v>101</v>
      </c>
      <c r="F49" s="4" t="n">
        <v>50</v>
      </c>
      <c r="G49" s="5" t="n">
        <v>85.59</v>
      </c>
      <c r="H49" s="5" t="n">
        <v>4279.66</v>
      </c>
      <c r="I49" s="6" t="n">
        <v>0.2</v>
      </c>
      <c r="J49" s="5" t="n">
        <v>3423.73</v>
      </c>
      <c r="K49" s="6" t="n">
        <v>0.09</v>
      </c>
      <c r="L49" s="5" t="n">
        <v>308.14</v>
      </c>
      <c r="M49" s="6" t="n">
        <v>0.09</v>
      </c>
      <c r="N49" s="5" t="n">
        <v>308.14</v>
      </c>
      <c r="O49" s="5" t="n">
        <f aca="false">J49+L49+N49</f>
        <v>4040.01</v>
      </c>
      <c r="P49" s="5" t="n">
        <f aca="false">ROUND(H49*1.18/F49,2)</f>
        <v>101</v>
      </c>
      <c r="Q49" s="5" t="n">
        <f aca="false">ROUND(H49*0.8,2)</f>
        <v>3423.73</v>
      </c>
      <c r="R49" s="5" t="n">
        <f aca="false">ROUND(Q49-J49,2)</f>
        <v>0</v>
      </c>
      <c r="S49" s="5" t="n">
        <f aca="false">ROUND(J49*9%,2)</f>
        <v>308.14</v>
      </c>
      <c r="T49" s="5" t="n">
        <f aca="false">ROUND(S49-L49,2)</f>
        <v>0</v>
      </c>
      <c r="U49" s="4" t="n">
        <v>2</v>
      </c>
      <c r="V49" s="4" t="s">
        <v>26</v>
      </c>
      <c r="W49" s="7"/>
      <c r="X49" s="5" t="n">
        <f aca="false">ROUND(J49/F49,2)</f>
        <v>68.47</v>
      </c>
    </row>
    <row r="50" customFormat="false" ht="15" hidden="false" customHeight="false" outlineLevel="0" collapsed="false">
      <c r="A50" s="3" t="n">
        <v>49</v>
      </c>
      <c r="B50" s="3" t="s">
        <v>128</v>
      </c>
      <c r="C50" s="3" t="s">
        <v>129</v>
      </c>
      <c r="D50" s="4" t="s">
        <v>34</v>
      </c>
      <c r="E50" s="5" t="n">
        <v>110</v>
      </c>
      <c r="F50" s="4" t="n">
        <v>20</v>
      </c>
      <c r="G50" s="5" t="n">
        <v>93.22</v>
      </c>
      <c r="H50" s="5" t="n">
        <v>1864.41</v>
      </c>
      <c r="I50" s="6" t="n">
        <v>0.2</v>
      </c>
      <c r="J50" s="5" t="n">
        <v>1491.53</v>
      </c>
      <c r="K50" s="6" t="n">
        <v>0.09</v>
      </c>
      <c r="L50" s="5" t="n">
        <v>134.24</v>
      </c>
      <c r="M50" s="6" t="n">
        <v>0.09</v>
      </c>
      <c r="N50" s="5" t="n">
        <v>134.24</v>
      </c>
      <c r="O50" s="5" t="n">
        <f aca="false">J50+L50+N50</f>
        <v>1760.01</v>
      </c>
      <c r="P50" s="5" t="n">
        <f aca="false">ROUND(H50*1.18/F50,2)</f>
        <v>110</v>
      </c>
      <c r="Q50" s="5" t="n">
        <f aca="false">ROUND(H50*0.8,2)</f>
        <v>1491.53</v>
      </c>
      <c r="R50" s="5" t="n">
        <f aca="false">ROUND(Q50-J50,2)</f>
        <v>0</v>
      </c>
      <c r="S50" s="5" t="n">
        <f aca="false">ROUND(J50*9%,2)</f>
        <v>134.24</v>
      </c>
      <c r="T50" s="5" t="n">
        <f aca="false">ROUND(S50-L50,2)</f>
        <v>0</v>
      </c>
      <c r="U50" s="4" t="n">
        <v>2</v>
      </c>
      <c r="V50" s="4" t="s">
        <v>26</v>
      </c>
      <c r="W50" s="7"/>
      <c r="X50" s="5" t="n">
        <f aca="false">ROUND(J50/F50,2)</f>
        <v>74.58</v>
      </c>
    </row>
    <row r="51" customFormat="false" ht="15" hidden="false" customHeight="false" outlineLevel="0" collapsed="false">
      <c r="A51" s="3" t="n">
        <v>50</v>
      </c>
      <c r="B51" s="3" t="s">
        <v>130</v>
      </c>
      <c r="C51" s="3" t="s">
        <v>131</v>
      </c>
      <c r="D51" s="4" t="s">
        <v>34</v>
      </c>
      <c r="E51" s="5" t="n">
        <v>83</v>
      </c>
      <c r="F51" s="4" t="n">
        <v>100</v>
      </c>
      <c r="G51" s="5" t="n">
        <v>69.92</v>
      </c>
      <c r="H51" s="5" t="n">
        <v>6991.53</v>
      </c>
      <c r="I51" s="6" t="n">
        <v>0.2</v>
      </c>
      <c r="J51" s="5" t="n">
        <v>5593.22</v>
      </c>
      <c r="K51" s="6" t="n">
        <v>0.09</v>
      </c>
      <c r="L51" s="5" t="n">
        <v>503.39</v>
      </c>
      <c r="M51" s="6" t="n">
        <v>0.09</v>
      </c>
      <c r="N51" s="5" t="n">
        <v>503.39</v>
      </c>
      <c r="O51" s="5" t="n">
        <f aca="false">J51+L51+N51</f>
        <v>6600</v>
      </c>
      <c r="P51" s="5" t="n">
        <f aca="false">ROUND(H51*1.18/F51,2)</f>
        <v>82.5</v>
      </c>
      <c r="Q51" s="5" t="n">
        <f aca="false">ROUND(H51*0.8,2)</f>
        <v>5593.22</v>
      </c>
      <c r="R51" s="5" t="n">
        <f aca="false">ROUND(Q51-J51,2)</f>
        <v>0</v>
      </c>
      <c r="S51" s="5" t="n">
        <f aca="false">ROUND(J51*9%,2)</f>
        <v>503.39</v>
      </c>
      <c r="T51" s="5" t="n">
        <f aca="false">ROUND(S51-L51,2)</f>
        <v>0</v>
      </c>
      <c r="U51" s="4" t="n">
        <v>2</v>
      </c>
      <c r="V51" s="4" t="s">
        <v>26</v>
      </c>
      <c r="W51" s="7"/>
      <c r="X51" s="5" t="n">
        <f aca="false">ROUND(J51/F51,2)</f>
        <v>55.93</v>
      </c>
    </row>
    <row r="52" customFormat="false" ht="15" hidden="false" customHeight="false" outlineLevel="0" collapsed="false">
      <c r="A52" s="3" t="n">
        <v>51</v>
      </c>
      <c r="B52" s="3" t="s">
        <v>132</v>
      </c>
      <c r="C52" s="3" t="s">
        <v>133</v>
      </c>
      <c r="D52" s="4" t="s">
        <v>34</v>
      </c>
      <c r="E52" s="5" t="n">
        <v>456</v>
      </c>
      <c r="F52" s="4" t="n">
        <v>1</v>
      </c>
      <c r="G52" s="5" t="n">
        <v>386.44</v>
      </c>
      <c r="H52" s="5" t="n">
        <v>386.44</v>
      </c>
      <c r="I52" s="6" t="n">
        <v>0.2</v>
      </c>
      <c r="J52" s="5" t="n">
        <v>309.15</v>
      </c>
      <c r="K52" s="6" t="n">
        <v>0.09</v>
      </c>
      <c r="L52" s="5" t="n">
        <v>27.82</v>
      </c>
      <c r="M52" s="6" t="n">
        <v>0.09</v>
      </c>
      <c r="N52" s="5" t="n">
        <v>27.82</v>
      </c>
      <c r="O52" s="5" t="n">
        <f aca="false">J52+L52+N52</f>
        <v>364.79</v>
      </c>
      <c r="P52" s="5" t="n">
        <f aca="false">ROUND(H52*1.18/F52,2)</f>
        <v>456</v>
      </c>
      <c r="Q52" s="5" t="n">
        <f aca="false">ROUND(H52*0.8,2)</f>
        <v>309.15</v>
      </c>
      <c r="R52" s="5" t="n">
        <f aca="false">ROUND(Q52-J52,2)</f>
        <v>0</v>
      </c>
      <c r="S52" s="5" t="n">
        <f aca="false">ROUND(J52*9%,2)</f>
        <v>27.82</v>
      </c>
      <c r="T52" s="5" t="n">
        <f aca="false">ROUND(S52-L52,2)</f>
        <v>0</v>
      </c>
      <c r="U52" s="4" t="n">
        <v>2</v>
      </c>
      <c r="V52" s="4" t="s">
        <v>26</v>
      </c>
      <c r="W52" s="7"/>
      <c r="X52" s="5" t="n">
        <f aca="false">ROUND(J52/F52,2)</f>
        <v>309.15</v>
      </c>
    </row>
    <row r="53" customFormat="false" ht="15" hidden="false" customHeight="false" outlineLevel="0" collapsed="false">
      <c r="A53" s="3" t="n">
        <v>52</v>
      </c>
      <c r="B53" s="3" t="s">
        <v>134</v>
      </c>
      <c r="C53" s="3" t="s">
        <v>135</v>
      </c>
      <c r="D53" s="4" t="s">
        <v>77</v>
      </c>
      <c r="E53" s="5" t="n">
        <v>15</v>
      </c>
      <c r="F53" s="4" t="n">
        <v>20</v>
      </c>
      <c r="G53" s="5" t="n">
        <v>12.71</v>
      </c>
      <c r="H53" s="5" t="n">
        <v>254.24</v>
      </c>
      <c r="I53" s="6" t="n">
        <v>0.2</v>
      </c>
      <c r="J53" s="5" t="n">
        <v>203.39</v>
      </c>
      <c r="K53" s="6" t="n">
        <v>0.09</v>
      </c>
      <c r="L53" s="5" t="n">
        <v>18.31</v>
      </c>
      <c r="M53" s="6" t="n">
        <v>0.09</v>
      </c>
      <c r="N53" s="5" t="n">
        <v>18.31</v>
      </c>
      <c r="O53" s="5" t="n">
        <f aca="false">J53+L53+N53</f>
        <v>240.01</v>
      </c>
      <c r="P53" s="5" t="n">
        <f aca="false">ROUND(H53*1.18/F53,2)</f>
        <v>15</v>
      </c>
      <c r="Q53" s="5" t="n">
        <f aca="false">ROUND(H53*0.8,2)</f>
        <v>203.39</v>
      </c>
      <c r="R53" s="5" t="n">
        <f aca="false">ROUND(Q53-J53,2)</f>
        <v>0</v>
      </c>
      <c r="S53" s="5" t="n">
        <f aca="false">ROUND(J53*9%,2)</f>
        <v>18.31</v>
      </c>
      <c r="T53" s="5" t="n">
        <f aca="false">ROUND(S53-L53,2)</f>
        <v>0</v>
      </c>
      <c r="U53" s="4" t="n">
        <v>2</v>
      </c>
      <c r="V53" s="4" t="s">
        <v>26</v>
      </c>
      <c r="W53" s="7"/>
      <c r="X53" s="5" t="n">
        <f aca="false">ROUND(J53/F53,2)</f>
        <v>10.17</v>
      </c>
    </row>
    <row r="54" customFormat="false" ht="15" hidden="false" customHeight="false" outlineLevel="0" collapsed="false">
      <c r="A54" s="3" t="n">
        <v>53</v>
      </c>
      <c r="B54" s="3" t="s">
        <v>136</v>
      </c>
      <c r="C54" s="3" t="s">
        <v>137</v>
      </c>
      <c r="D54" s="4" t="s">
        <v>138</v>
      </c>
      <c r="E54" s="5" t="n">
        <v>11</v>
      </c>
      <c r="F54" s="4" t="n">
        <v>20</v>
      </c>
      <c r="G54" s="5" t="n">
        <v>9.32</v>
      </c>
      <c r="H54" s="5" t="n">
        <v>186.44</v>
      </c>
      <c r="I54" s="6" t="n">
        <v>0.2</v>
      </c>
      <c r="J54" s="5" t="n">
        <v>149.15</v>
      </c>
      <c r="K54" s="6" t="n">
        <v>0.09</v>
      </c>
      <c r="L54" s="5" t="n">
        <v>13.42</v>
      </c>
      <c r="M54" s="6" t="n">
        <v>0.09</v>
      </c>
      <c r="N54" s="5" t="n">
        <v>13.42</v>
      </c>
      <c r="O54" s="5" t="n">
        <f aca="false">J54+L54+N54</f>
        <v>175.99</v>
      </c>
      <c r="P54" s="5" t="n">
        <f aca="false">ROUND(H54*1.18/F54,2)</f>
        <v>11</v>
      </c>
      <c r="Q54" s="5" t="n">
        <f aca="false">ROUND(H54*0.8,2)</f>
        <v>149.15</v>
      </c>
      <c r="R54" s="5" t="n">
        <f aca="false">ROUND(Q54-J54,2)</f>
        <v>0</v>
      </c>
      <c r="S54" s="5" t="n">
        <f aca="false">ROUND(J54*9%,2)</f>
        <v>13.42</v>
      </c>
      <c r="T54" s="5" t="n">
        <f aca="false">ROUND(S54-L54,2)</f>
        <v>0</v>
      </c>
      <c r="U54" s="4" t="n">
        <v>2</v>
      </c>
      <c r="V54" s="4" t="s">
        <v>26</v>
      </c>
      <c r="W54" s="7"/>
      <c r="X54" s="5" t="n">
        <f aca="false">ROUND(J54/F54,2)</f>
        <v>7.46</v>
      </c>
    </row>
    <row r="55" customFormat="false" ht="15" hidden="false" customHeight="false" outlineLevel="0" collapsed="false">
      <c r="A55" s="3" t="n">
        <v>54</v>
      </c>
      <c r="B55" s="3" t="s">
        <v>139</v>
      </c>
      <c r="C55" s="3" t="s">
        <v>140</v>
      </c>
      <c r="D55" s="4" t="s">
        <v>34</v>
      </c>
      <c r="E55" s="5" t="n">
        <v>1659</v>
      </c>
      <c r="F55" s="4" t="n">
        <v>1</v>
      </c>
      <c r="G55" s="5" t="n">
        <v>1405.93</v>
      </c>
      <c r="H55" s="5" t="n">
        <v>1405.93</v>
      </c>
      <c r="I55" s="6" t="n">
        <v>0.2</v>
      </c>
      <c r="J55" s="5" t="n">
        <v>1124.75</v>
      </c>
      <c r="K55" s="6" t="n">
        <v>0.09</v>
      </c>
      <c r="L55" s="5" t="n">
        <v>101.23</v>
      </c>
      <c r="M55" s="6" t="n">
        <v>0.09</v>
      </c>
      <c r="N55" s="5" t="n">
        <v>101.23</v>
      </c>
      <c r="O55" s="5" t="n">
        <f aca="false">J55+L55+N55</f>
        <v>1327.21</v>
      </c>
      <c r="P55" s="5" t="n">
        <f aca="false">ROUND(H55*1.18/F55,2)</f>
        <v>1659</v>
      </c>
      <c r="Q55" s="5" t="n">
        <f aca="false">ROUND(H55*0.8,2)</f>
        <v>1124.74</v>
      </c>
      <c r="R55" s="5" t="n">
        <f aca="false">ROUND(Q55-J55,2)</f>
        <v>-0.01</v>
      </c>
      <c r="S55" s="5" t="n">
        <f aca="false">ROUND(J55*9%,2)</f>
        <v>101.23</v>
      </c>
      <c r="T55" s="5" t="n">
        <f aca="false">ROUND(S55-L55,2)</f>
        <v>0</v>
      </c>
      <c r="U55" s="4" t="n">
        <v>2</v>
      </c>
      <c r="V55" s="4" t="s">
        <v>26</v>
      </c>
      <c r="W55" s="7"/>
      <c r="X55" s="5" t="n">
        <f aca="false">ROUND(J55/F55,2)</f>
        <v>1124.75</v>
      </c>
    </row>
    <row r="56" customFormat="false" ht="15" hidden="false" customHeight="false" outlineLevel="0" collapsed="false">
      <c r="A56" s="3" t="n">
        <v>55</v>
      </c>
      <c r="B56" s="3" t="s">
        <v>141</v>
      </c>
      <c r="C56" s="3" t="s">
        <v>142</v>
      </c>
      <c r="D56" s="4" t="s">
        <v>34</v>
      </c>
      <c r="E56" s="5" t="n">
        <v>1336</v>
      </c>
      <c r="F56" s="4" t="n">
        <v>1</v>
      </c>
      <c r="G56" s="5" t="n">
        <v>1132.2</v>
      </c>
      <c r="H56" s="5" t="n">
        <v>1132.2</v>
      </c>
      <c r="I56" s="6" t="n">
        <v>0.2</v>
      </c>
      <c r="J56" s="5" t="n">
        <v>905.76</v>
      </c>
      <c r="K56" s="6" t="n">
        <v>0.09</v>
      </c>
      <c r="L56" s="5" t="n">
        <v>81.52</v>
      </c>
      <c r="M56" s="6" t="n">
        <v>0.09</v>
      </c>
      <c r="N56" s="5" t="n">
        <v>81.52</v>
      </c>
      <c r="O56" s="5" t="n">
        <f aca="false">J56+L56+N56</f>
        <v>1068.8</v>
      </c>
      <c r="P56" s="5" t="n">
        <f aca="false">ROUND(H56*1.18/F56,2)</f>
        <v>1336</v>
      </c>
      <c r="Q56" s="5" t="n">
        <f aca="false">ROUND(H56*0.8,2)</f>
        <v>905.76</v>
      </c>
      <c r="R56" s="5" t="n">
        <f aca="false">ROUND(Q56-J56,2)</f>
        <v>0</v>
      </c>
      <c r="S56" s="5" t="n">
        <f aca="false">ROUND(J56*9%,2)</f>
        <v>81.52</v>
      </c>
      <c r="T56" s="5" t="n">
        <f aca="false">ROUND(S56-L56,2)</f>
        <v>0</v>
      </c>
      <c r="U56" s="4" t="n">
        <v>2</v>
      </c>
      <c r="V56" s="4" t="s">
        <v>26</v>
      </c>
      <c r="W56" s="7"/>
      <c r="X56" s="5" t="n">
        <f aca="false">ROUND(J56/F56,2)</f>
        <v>905.76</v>
      </c>
    </row>
    <row r="57" customFormat="false" ht="15" hidden="false" customHeight="false" outlineLevel="0" collapsed="false">
      <c r="A57" s="3" t="n">
        <v>56</v>
      </c>
      <c r="B57" s="3" t="s">
        <v>143</v>
      </c>
      <c r="C57" s="3" t="s">
        <v>144</v>
      </c>
      <c r="D57" s="4" t="s">
        <v>34</v>
      </c>
      <c r="E57" s="5" t="n">
        <v>42</v>
      </c>
      <c r="F57" s="4" t="n">
        <v>10</v>
      </c>
      <c r="G57" s="5" t="n">
        <v>35.59</v>
      </c>
      <c r="H57" s="5" t="n">
        <v>355.93</v>
      </c>
      <c r="I57" s="6" t="n">
        <v>0.2</v>
      </c>
      <c r="J57" s="5" t="n">
        <v>284.75</v>
      </c>
      <c r="K57" s="6" t="n">
        <v>0.09</v>
      </c>
      <c r="L57" s="5" t="n">
        <v>25.63</v>
      </c>
      <c r="M57" s="6" t="n">
        <v>0.09</v>
      </c>
      <c r="N57" s="5" t="n">
        <v>25.63</v>
      </c>
      <c r="O57" s="5" t="n">
        <f aca="false">J57+L57+N57</f>
        <v>336.01</v>
      </c>
      <c r="P57" s="5" t="n">
        <f aca="false">ROUND(H57*1.18/F57,2)</f>
        <v>42</v>
      </c>
      <c r="Q57" s="5" t="n">
        <f aca="false">ROUND(H57*0.8,2)</f>
        <v>284.74</v>
      </c>
      <c r="R57" s="5" t="n">
        <f aca="false">ROUND(Q57-J57,2)</f>
        <v>-0.01</v>
      </c>
      <c r="S57" s="5" t="n">
        <f aca="false">ROUND(J57*9%,2)</f>
        <v>25.63</v>
      </c>
      <c r="T57" s="5" t="n">
        <f aca="false">ROUND(S57-L57,2)</f>
        <v>0</v>
      </c>
      <c r="U57" s="4" t="n">
        <v>2</v>
      </c>
      <c r="V57" s="4" t="s">
        <v>26</v>
      </c>
      <c r="W57" s="7"/>
      <c r="X57" s="5" t="n">
        <f aca="false">ROUND(J57/F57,2)</f>
        <v>28.48</v>
      </c>
    </row>
    <row r="58" customFormat="false" ht="15" hidden="false" customHeight="false" outlineLevel="0" collapsed="false">
      <c r="A58" s="3" t="n">
        <v>57</v>
      </c>
      <c r="B58" s="3" t="s">
        <v>145</v>
      </c>
      <c r="C58" s="3" t="s">
        <v>146</v>
      </c>
      <c r="D58" s="4" t="s">
        <v>34</v>
      </c>
      <c r="E58" s="5" t="n">
        <v>47</v>
      </c>
      <c r="F58" s="4" t="n">
        <v>10</v>
      </c>
      <c r="G58" s="5" t="n">
        <v>39.83</v>
      </c>
      <c r="H58" s="5" t="n">
        <v>398.31</v>
      </c>
      <c r="I58" s="6" t="n">
        <v>0.2</v>
      </c>
      <c r="J58" s="5" t="n">
        <v>318.64</v>
      </c>
      <c r="K58" s="6" t="n">
        <v>0.09</v>
      </c>
      <c r="L58" s="5" t="n">
        <v>28.68</v>
      </c>
      <c r="M58" s="6" t="n">
        <v>0.09</v>
      </c>
      <c r="N58" s="5" t="n">
        <v>28.68</v>
      </c>
      <c r="O58" s="5" t="n">
        <f aca="false">J58+L58+N58</f>
        <v>376</v>
      </c>
      <c r="P58" s="5" t="n">
        <f aca="false">ROUND(H58*1.18/F58,2)</f>
        <v>47</v>
      </c>
      <c r="Q58" s="5" t="n">
        <f aca="false">ROUND(H58*0.8,2)</f>
        <v>318.65</v>
      </c>
      <c r="R58" s="5" t="n">
        <f aca="false">ROUND(Q58-J58,2)</f>
        <v>0.01</v>
      </c>
      <c r="S58" s="5" t="n">
        <f aca="false">ROUND(J58*9%,2)</f>
        <v>28.68</v>
      </c>
      <c r="T58" s="5" t="n">
        <f aca="false">ROUND(S58-L58,2)</f>
        <v>0</v>
      </c>
      <c r="U58" s="4" t="n">
        <v>2</v>
      </c>
      <c r="V58" s="4" t="s">
        <v>26</v>
      </c>
      <c r="W58" s="7"/>
      <c r="X58" s="5" t="n">
        <f aca="false">ROUND(J58/F58,2)</f>
        <v>31.86</v>
      </c>
    </row>
    <row r="59" customFormat="false" ht="15" hidden="false" customHeight="false" outlineLevel="0" collapsed="false">
      <c r="A59" s="3" t="n">
        <v>58</v>
      </c>
      <c r="B59" s="3" t="s">
        <v>147</v>
      </c>
      <c r="C59" s="3" t="s">
        <v>148</v>
      </c>
      <c r="D59" s="4" t="s">
        <v>34</v>
      </c>
      <c r="E59" s="5" t="n">
        <v>165</v>
      </c>
      <c r="F59" s="4" t="n">
        <v>10</v>
      </c>
      <c r="G59" s="5" t="n">
        <v>139.83</v>
      </c>
      <c r="H59" s="5" t="n">
        <v>1398.31</v>
      </c>
      <c r="I59" s="6" t="n">
        <v>0.2</v>
      </c>
      <c r="J59" s="5" t="n">
        <v>1118.64</v>
      </c>
      <c r="K59" s="6" t="n">
        <v>0.09</v>
      </c>
      <c r="L59" s="5" t="n">
        <v>100.68</v>
      </c>
      <c r="M59" s="6" t="n">
        <v>0.09</v>
      </c>
      <c r="N59" s="5" t="n">
        <v>100.68</v>
      </c>
      <c r="O59" s="5" t="n">
        <f aca="false">J59+L59+N59</f>
        <v>1320</v>
      </c>
      <c r="P59" s="5" t="n">
        <f aca="false">ROUND(H59*1.18/F59,2)</f>
        <v>165</v>
      </c>
      <c r="Q59" s="5" t="n">
        <f aca="false">ROUND(H59*0.8,2)</f>
        <v>1118.65</v>
      </c>
      <c r="R59" s="5" t="n">
        <f aca="false">ROUND(Q59-J59,2)</f>
        <v>0.01</v>
      </c>
      <c r="S59" s="5" t="n">
        <f aca="false">ROUND(J59*9%,2)</f>
        <v>100.68</v>
      </c>
      <c r="T59" s="5" t="n">
        <f aca="false">ROUND(S59-L59,2)</f>
        <v>0</v>
      </c>
      <c r="U59" s="4" t="n">
        <v>2</v>
      </c>
      <c r="V59" s="4" t="s">
        <v>26</v>
      </c>
      <c r="W59" s="7"/>
      <c r="X59" s="5" t="n">
        <f aca="false">ROUND(J59/F59,2)</f>
        <v>111.86</v>
      </c>
    </row>
    <row r="60" customFormat="false" ht="15" hidden="false" customHeight="false" outlineLevel="0" collapsed="false">
      <c r="A60" s="3" t="n">
        <v>59</v>
      </c>
      <c r="B60" s="3" t="s">
        <v>149</v>
      </c>
      <c r="C60" s="3" t="s">
        <v>150</v>
      </c>
      <c r="D60" s="4" t="s">
        <v>34</v>
      </c>
      <c r="E60" s="5" t="n">
        <v>179</v>
      </c>
      <c r="F60" s="4" t="n">
        <v>5</v>
      </c>
      <c r="G60" s="5" t="n">
        <v>151.69</v>
      </c>
      <c r="H60" s="5" t="n">
        <v>758.47</v>
      </c>
      <c r="I60" s="6" t="n">
        <v>0.2</v>
      </c>
      <c r="J60" s="5" t="n">
        <v>606.78</v>
      </c>
      <c r="K60" s="6" t="n">
        <v>0.09</v>
      </c>
      <c r="L60" s="5" t="n">
        <v>54.61</v>
      </c>
      <c r="M60" s="6" t="n">
        <v>0.09</v>
      </c>
      <c r="N60" s="5" t="n">
        <v>54.61</v>
      </c>
      <c r="O60" s="5" t="n">
        <f aca="false">J60+L60+N60</f>
        <v>716</v>
      </c>
      <c r="P60" s="5" t="n">
        <f aca="false">ROUND(H60*1.18/F60,2)</f>
        <v>179</v>
      </c>
      <c r="Q60" s="5" t="n">
        <f aca="false">ROUND(H60*0.8,2)</f>
        <v>606.78</v>
      </c>
      <c r="R60" s="5" t="n">
        <f aca="false">ROUND(Q60-J60,2)</f>
        <v>0</v>
      </c>
      <c r="S60" s="5" t="n">
        <f aca="false">ROUND(J60*9%,2)</f>
        <v>54.61</v>
      </c>
      <c r="T60" s="5" t="n">
        <f aca="false">ROUND(S60-L60,2)</f>
        <v>0</v>
      </c>
      <c r="U60" s="4" t="n">
        <v>2</v>
      </c>
      <c r="V60" s="4" t="s">
        <v>26</v>
      </c>
      <c r="W60" s="7"/>
      <c r="X60" s="5" t="n">
        <f aca="false">ROUND(J60/F60,2)</f>
        <v>121.36</v>
      </c>
    </row>
    <row r="61" customFormat="false" ht="15" hidden="false" customHeight="false" outlineLevel="0" collapsed="false">
      <c r="A61" s="3" t="n">
        <v>60</v>
      </c>
      <c r="B61" s="3" t="s">
        <v>151</v>
      </c>
      <c r="C61" s="3" t="s">
        <v>152</v>
      </c>
      <c r="D61" s="4" t="s">
        <v>34</v>
      </c>
      <c r="E61" s="5" t="n">
        <v>202</v>
      </c>
      <c r="F61" s="4" t="n">
        <v>5</v>
      </c>
      <c r="G61" s="5" t="n">
        <v>171.19</v>
      </c>
      <c r="H61" s="5" t="n">
        <v>855.93</v>
      </c>
      <c r="I61" s="6" t="n">
        <v>0.2</v>
      </c>
      <c r="J61" s="5" t="n">
        <v>684.75</v>
      </c>
      <c r="K61" s="6" t="n">
        <v>0.09</v>
      </c>
      <c r="L61" s="5" t="n">
        <v>61.63</v>
      </c>
      <c r="M61" s="6" t="n">
        <v>0.09</v>
      </c>
      <c r="N61" s="5" t="n">
        <v>61.63</v>
      </c>
      <c r="O61" s="5" t="n">
        <f aca="false">J61+L61+N61</f>
        <v>808.01</v>
      </c>
      <c r="P61" s="5" t="n">
        <f aca="false">ROUND(H61*1.18/F61,2)</f>
        <v>202</v>
      </c>
      <c r="Q61" s="5" t="n">
        <f aca="false">ROUND(H61*0.8,2)</f>
        <v>684.74</v>
      </c>
      <c r="R61" s="5" t="n">
        <f aca="false">ROUND(Q61-J61,2)</f>
        <v>-0.01</v>
      </c>
      <c r="S61" s="5" t="n">
        <f aca="false">ROUND(J61*9%,2)</f>
        <v>61.63</v>
      </c>
      <c r="T61" s="5" t="n">
        <f aca="false">ROUND(S61-L61,2)</f>
        <v>0</v>
      </c>
      <c r="U61" s="4" t="n">
        <v>2</v>
      </c>
      <c r="V61" s="4" t="s">
        <v>26</v>
      </c>
      <c r="W61" s="7"/>
      <c r="X61" s="5" t="n">
        <f aca="false">ROUND(J61/F61,2)</f>
        <v>136.95</v>
      </c>
    </row>
    <row r="62" customFormat="false" ht="15" hidden="false" customHeight="false" outlineLevel="0" collapsed="false">
      <c r="A62" s="3" t="n">
        <v>61</v>
      </c>
      <c r="B62" s="3" t="s">
        <v>153</v>
      </c>
      <c r="C62" s="3" t="s">
        <v>154</v>
      </c>
      <c r="D62" s="4" t="s">
        <v>34</v>
      </c>
      <c r="E62" s="5" t="n">
        <v>152</v>
      </c>
      <c r="F62" s="4" t="n">
        <v>10</v>
      </c>
      <c r="G62" s="5" t="n">
        <v>128.81</v>
      </c>
      <c r="H62" s="5" t="n">
        <v>1288.14</v>
      </c>
      <c r="I62" s="6" t="n">
        <v>0.2</v>
      </c>
      <c r="J62" s="5" t="n">
        <v>1030.51</v>
      </c>
      <c r="K62" s="6" t="n">
        <v>0.09</v>
      </c>
      <c r="L62" s="5" t="n">
        <v>92.75</v>
      </c>
      <c r="M62" s="6" t="n">
        <v>0.09</v>
      </c>
      <c r="N62" s="5" t="n">
        <v>92.75</v>
      </c>
      <c r="O62" s="5" t="n">
        <f aca="false">J62+L62+N62</f>
        <v>1216.01</v>
      </c>
      <c r="P62" s="5" t="n">
        <f aca="false">ROUND(H62*1.18/F62,2)</f>
        <v>152</v>
      </c>
      <c r="Q62" s="5" t="n">
        <f aca="false">ROUND(H62*0.8,2)</f>
        <v>1030.51</v>
      </c>
      <c r="R62" s="5" t="n">
        <f aca="false">ROUND(Q62-J62,2)</f>
        <v>0</v>
      </c>
      <c r="S62" s="5" t="n">
        <f aca="false">ROUND(J62*9%,2)</f>
        <v>92.75</v>
      </c>
      <c r="T62" s="5" t="n">
        <f aca="false">ROUND(S62-L62,2)</f>
        <v>0</v>
      </c>
      <c r="U62" s="4" t="n">
        <v>2</v>
      </c>
      <c r="V62" s="4" t="s">
        <v>26</v>
      </c>
      <c r="W62" s="7"/>
      <c r="X62" s="5" t="n">
        <f aca="false">ROUND(J62/F62,2)</f>
        <v>103.05</v>
      </c>
    </row>
    <row r="63" customFormat="false" ht="15" hidden="false" customHeight="false" outlineLevel="0" collapsed="false">
      <c r="A63" s="3" t="n">
        <v>62</v>
      </c>
      <c r="B63" s="3" t="s">
        <v>155</v>
      </c>
      <c r="C63" s="3" t="s">
        <v>156</v>
      </c>
      <c r="D63" s="4" t="s">
        <v>34</v>
      </c>
      <c r="E63" s="5" t="n">
        <v>175</v>
      </c>
      <c r="F63" s="4" t="n">
        <v>5</v>
      </c>
      <c r="G63" s="5" t="n">
        <v>148.31</v>
      </c>
      <c r="H63" s="5" t="n">
        <v>741.53</v>
      </c>
      <c r="I63" s="6" t="n">
        <v>0.2</v>
      </c>
      <c r="J63" s="5" t="n">
        <v>593.22</v>
      </c>
      <c r="K63" s="6" t="n">
        <v>0.09</v>
      </c>
      <c r="L63" s="5" t="n">
        <v>53.39</v>
      </c>
      <c r="M63" s="6" t="n">
        <v>0.09</v>
      </c>
      <c r="N63" s="5" t="n">
        <v>53.39</v>
      </c>
      <c r="O63" s="5" t="n">
        <f aca="false">J63+L63+N63</f>
        <v>700</v>
      </c>
      <c r="P63" s="5" t="n">
        <f aca="false">ROUND(H63*1.18/F63,2)</f>
        <v>175</v>
      </c>
      <c r="Q63" s="5" t="n">
        <f aca="false">ROUND(H63*0.8,2)</f>
        <v>593.22</v>
      </c>
      <c r="R63" s="5" t="n">
        <f aca="false">ROUND(Q63-J63,2)</f>
        <v>0</v>
      </c>
      <c r="S63" s="5" t="n">
        <f aca="false">ROUND(J63*9%,2)</f>
        <v>53.39</v>
      </c>
      <c r="T63" s="5" t="n">
        <f aca="false">ROUND(S63-L63,2)</f>
        <v>0</v>
      </c>
      <c r="U63" s="4" t="n">
        <v>2</v>
      </c>
      <c r="V63" s="4" t="s">
        <v>26</v>
      </c>
      <c r="W63" s="7"/>
      <c r="X63" s="5" t="n">
        <f aca="false">ROUND(J63/F63,2)</f>
        <v>118.64</v>
      </c>
    </row>
    <row r="64" customFormat="false" ht="15" hidden="false" customHeight="false" outlineLevel="0" collapsed="false">
      <c r="A64" s="3" t="n">
        <v>63</v>
      </c>
      <c r="B64" s="3" t="s">
        <v>157</v>
      </c>
      <c r="C64" s="3" t="s">
        <v>158</v>
      </c>
      <c r="D64" s="4" t="s">
        <v>34</v>
      </c>
      <c r="E64" s="5" t="n">
        <v>129</v>
      </c>
      <c r="F64" s="4" t="n">
        <v>20</v>
      </c>
      <c r="G64" s="5" t="n">
        <v>109.32</v>
      </c>
      <c r="H64" s="5" t="n">
        <v>2186.44</v>
      </c>
      <c r="I64" s="6" t="n">
        <v>0.2</v>
      </c>
      <c r="J64" s="5" t="n">
        <v>1749.15</v>
      </c>
      <c r="K64" s="6" t="n">
        <v>0.09</v>
      </c>
      <c r="L64" s="5" t="n">
        <v>157.42</v>
      </c>
      <c r="M64" s="6" t="n">
        <v>0.09</v>
      </c>
      <c r="N64" s="5" t="n">
        <v>157.42</v>
      </c>
      <c r="O64" s="5" t="n">
        <f aca="false">J64+L64+N64</f>
        <v>2063.99</v>
      </c>
      <c r="P64" s="5" t="n">
        <f aca="false">ROUND(H64*1.18/F64,2)</f>
        <v>129</v>
      </c>
      <c r="Q64" s="5" t="n">
        <f aca="false">ROUND(H64*0.8,2)</f>
        <v>1749.15</v>
      </c>
      <c r="R64" s="5" t="n">
        <f aca="false">ROUND(Q64-J64,2)</f>
        <v>0</v>
      </c>
      <c r="S64" s="5" t="n">
        <f aca="false">ROUND(J64*9%,2)</f>
        <v>157.42</v>
      </c>
      <c r="T64" s="5" t="n">
        <f aca="false">ROUND(S64-L64,2)</f>
        <v>0</v>
      </c>
      <c r="U64" s="4" t="n">
        <v>2</v>
      </c>
      <c r="V64" s="4" t="s">
        <v>26</v>
      </c>
      <c r="W64" s="7"/>
      <c r="X64" s="5" t="n">
        <f aca="false">ROUND(J64/F64,2)</f>
        <v>87.46</v>
      </c>
    </row>
    <row r="65" customFormat="false" ht="15" hidden="false" customHeight="false" outlineLevel="0" collapsed="false">
      <c r="A65" s="3" t="n">
        <v>64</v>
      </c>
      <c r="B65" s="3" t="s">
        <v>159</v>
      </c>
      <c r="C65" s="3" t="s">
        <v>160</v>
      </c>
      <c r="D65" s="4" t="s">
        <v>34</v>
      </c>
      <c r="E65" s="5" t="n">
        <v>142</v>
      </c>
      <c r="F65" s="4" t="n">
        <v>30</v>
      </c>
      <c r="G65" s="5" t="n">
        <v>120.34</v>
      </c>
      <c r="H65" s="5" t="n">
        <v>3610.17</v>
      </c>
      <c r="I65" s="6" t="n">
        <v>0.2</v>
      </c>
      <c r="J65" s="5" t="n">
        <v>2888.14</v>
      </c>
      <c r="K65" s="6" t="n">
        <v>0.09</v>
      </c>
      <c r="L65" s="5" t="n">
        <v>259.93</v>
      </c>
      <c r="M65" s="6" t="n">
        <v>0.09</v>
      </c>
      <c r="N65" s="5" t="n">
        <v>259.93</v>
      </c>
      <c r="O65" s="5" t="n">
        <f aca="false">J65+L65+N65</f>
        <v>3408</v>
      </c>
      <c r="P65" s="5" t="n">
        <f aca="false">ROUND(H65*1.18/F65,2)</f>
        <v>142</v>
      </c>
      <c r="Q65" s="5" t="n">
        <f aca="false">ROUND(H65*0.8,2)</f>
        <v>2888.14</v>
      </c>
      <c r="R65" s="5" t="n">
        <f aca="false">ROUND(Q65-J65,2)</f>
        <v>0</v>
      </c>
      <c r="S65" s="5" t="n">
        <f aca="false">ROUND(J65*9%,2)</f>
        <v>259.93</v>
      </c>
      <c r="T65" s="5" t="n">
        <f aca="false">ROUND(S65-L65,2)</f>
        <v>0</v>
      </c>
      <c r="U65" s="4" t="n">
        <v>2</v>
      </c>
      <c r="V65" s="4" t="s">
        <v>26</v>
      </c>
      <c r="W65" s="7"/>
      <c r="X65" s="5" t="n">
        <f aca="false">ROUND(J65/F65,2)</f>
        <v>96.27</v>
      </c>
    </row>
    <row r="66" customFormat="false" ht="15" hidden="false" customHeight="false" outlineLevel="0" collapsed="false">
      <c r="A66" s="3" t="n">
        <v>65</v>
      </c>
      <c r="B66" s="3" t="s">
        <v>161</v>
      </c>
      <c r="C66" s="3" t="s">
        <v>162</v>
      </c>
      <c r="D66" s="4" t="s">
        <v>34</v>
      </c>
      <c r="E66" s="5" t="n">
        <v>198</v>
      </c>
      <c r="F66" s="4" t="n">
        <v>5</v>
      </c>
      <c r="G66" s="5" t="n">
        <v>167.8</v>
      </c>
      <c r="H66" s="5" t="n">
        <v>838.98</v>
      </c>
      <c r="I66" s="6" t="n">
        <v>0.2</v>
      </c>
      <c r="J66" s="5" t="n">
        <v>671.19</v>
      </c>
      <c r="K66" s="6" t="n">
        <v>0.09</v>
      </c>
      <c r="L66" s="5" t="n">
        <v>60.41</v>
      </c>
      <c r="M66" s="6" t="n">
        <v>0.09</v>
      </c>
      <c r="N66" s="5" t="n">
        <v>60.41</v>
      </c>
      <c r="O66" s="5" t="n">
        <f aca="false">J66+L66+N66</f>
        <v>792.01</v>
      </c>
      <c r="P66" s="5" t="n">
        <f aca="false">ROUND(H66*1.18/F66,2)</f>
        <v>198</v>
      </c>
      <c r="Q66" s="5" t="n">
        <f aca="false">ROUND(H66*0.8,2)</f>
        <v>671.18</v>
      </c>
      <c r="R66" s="5" t="n">
        <f aca="false">ROUND(Q66-J66,2)</f>
        <v>-0.01</v>
      </c>
      <c r="S66" s="5" t="n">
        <f aca="false">ROUND(J66*9%,2)</f>
        <v>60.41</v>
      </c>
      <c r="T66" s="5" t="n">
        <f aca="false">ROUND(S66-L66,2)</f>
        <v>0</v>
      </c>
      <c r="U66" s="4" t="n">
        <v>2</v>
      </c>
      <c r="V66" s="4" t="s">
        <v>26</v>
      </c>
      <c r="W66" s="7"/>
      <c r="X66" s="5" t="n">
        <f aca="false">ROUND(J66/F66,2)</f>
        <v>134.24</v>
      </c>
    </row>
    <row r="67" customFormat="false" ht="15" hidden="false" customHeight="false" outlineLevel="0" collapsed="false">
      <c r="A67" s="3" t="n">
        <v>66</v>
      </c>
      <c r="B67" s="3" t="s">
        <v>163</v>
      </c>
      <c r="C67" s="3" t="s">
        <v>164</v>
      </c>
      <c r="D67" s="4" t="s">
        <v>34</v>
      </c>
      <c r="E67" s="5" t="n">
        <v>14</v>
      </c>
      <c r="F67" s="4" t="n">
        <v>10</v>
      </c>
      <c r="G67" s="5" t="n">
        <v>11.44</v>
      </c>
      <c r="H67" s="5" t="n">
        <v>114.41</v>
      </c>
      <c r="I67" s="6" t="n">
        <v>0.2</v>
      </c>
      <c r="J67" s="5" t="n">
        <v>91.53</v>
      </c>
      <c r="K67" s="6" t="n">
        <v>0.09</v>
      </c>
      <c r="L67" s="5" t="n">
        <v>8.24</v>
      </c>
      <c r="M67" s="6" t="n">
        <v>0.09</v>
      </c>
      <c r="N67" s="5" t="n">
        <v>8.24</v>
      </c>
      <c r="O67" s="5" t="n">
        <f aca="false">J67+L67+N67</f>
        <v>108.01</v>
      </c>
      <c r="P67" s="5" t="n">
        <f aca="false">ROUND(H67*1.18/F67,2)</f>
        <v>13.5</v>
      </c>
      <c r="Q67" s="5" t="n">
        <f aca="false">ROUND(H67*0.8,2)</f>
        <v>91.53</v>
      </c>
      <c r="R67" s="5" t="n">
        <f aca="false">ROUND(Q67-J67,2)</f>
        <v>0</v>
      </c>
      <c r="S67" s="5" t="n">
        <f aca="false">ROUND(J67*9%,2)</f>
        <v>8.24</v>
      </c>
      <c r="T67" s="5" t="n">
        <f aca="false">ROUND(S67-L67,2)</f>
        <v>0</v>
      </c>
      <c r="U67" s="4" t="n">
        <v>2</v>
      </c>
      <c r="V67" s="4" t="s">
        <v>26</v>
      </c>
      <c r="W67" s="7"/>
      <c r="X67" s="5" t="n">
        <f aca="false">ROUND(J67/F67,2)</f>
        <v>9.15</v>
      </c>
    </row>
    <row r="68" customFormat="false" ht="15" hidden="false" customHeight="false" outlineLevel="0" collapsed="false">
      <c r="A68" s="3" t="n">
        <v>67</v>
      </c>
      <c r="B68" s="3" t="s">
        <v>165</v>
      </c>
      <c r="C68" s="3" t="s">
        <v>166</v>
      </c>
      <c r="D68" s="4" t="s">
        <v>34</v>
      </c>
      <c r="E68" s="5" t="n">
        <v>147</v>
      </c>
      <c r="F68" s="4" t="n">
        <v>20</v>
      </c>
      <c r="G68" s="5" t="n">
        <v>124.58</v>
      </c>
      <c r="H68" s="5" t="n">
        <v>2491.53</v>
      </c>
      <c r="I68" s="6" t="n">
        <v>0.2</v>
      </c>
      <c r="J68" s="5" t="n">
        <v>1993.22</v>
      </c>
      <c r="K68" s="6" t="n">
        <v>0.09</v>
      </c>
      <c r="L68" s="5" t="n">
        <v>179.39</v>
      </c>
      <c r="M68" s="6" t="n">
        <v>0.09</v>
      </c>
      <c r="N68" s="5" t="n">
        <v>179.39</v>
      </c>
      <c r="O68" s="5" t="n">
        <f aca="false">J68+L68+N68</f>
        <v>2352</v>
      </c>
      <c r="P68" s="5" t="n">
        <f aca="false">ROUND(H68*1.18/F68,2)</f>
        <v>147</v>
      </c>
      <c r="Q68" s="5" t="n">
        <f aca="false">ROUND(H68*0.8,2)</f>
        <v>1993.22</v>
      </c>
      <c r="R68" s="5" t="n">
        <f aca="false">ROUND(Q68-J68,2)</f>
        <v>0</v>
      </c>
      <c r="S68" s="5" t="n">
        <f aca="false">ROUND(J68*9%,2)</f>
        <v>179.39</v>
      </c>
      <c r="T68" s="5" t="n">
        <f aca="false">ROUND(S68-L68,2)</f>
        <v>0</v>
      </c>
      <c r="U68" s="4" t="n">
        <v>2</v>
      </c>
      <c r="V68" s="4" t="s">
        <v>26</v>
      </c>
      <c r="W68" s="7"/>
      <c r="X68" s="5" t="n">
        <f aca="false">ROUND(J68/F68,2)</f>
        <v>99.66</v>
      </c>
    </row>
    <row r="69" customFormat="false" ht="15" hidden="false" customHeight="false" outlineLevel="0" collapsed="false">
      <c r="A69" s="3" t="n">
        <v>68</v>
      </c>
      <c r="B69" s="3" t="s">
        <v>167</v>
      </c>
      <c r="C69" s="3" t="s">
        <v>168</v>
      </c>
      <c r="D69" s="4" t="s">
        <v>34</v>
      </c>
      <c r="E69" s="5" t="n">
        <v>1161</v>
      </c>
      <c r="F69" s="4" t="n">
        <v>1</v>
      </c>
      <c r="G69" s="5" t="n">
        <v>983.9</v>
      </c>
      <c r="H69" s="5" t="n">
        <v>983.9</v>
      </c>
      <c r="I69" s="6" t="n">
        <v>0.2</v>
      </c>
      <c r="J69" s="5" t="n">
        <v>787.12</v>
      </c>
      <c r="K69" s="6" t="n">
        <v>0.09</v>
      </c>
      <c r="L69" s="5" t="n">
        <v>70.84</v>
      </c>
      <c r="M69" s="6" t="n">
        <v>0.09</v>
      </c>
      <c r="N69" s="5" t="n">
        <v>70.84</v>
      </c>
      <c r="O69" s="5" t="n">
        <f aca="false">J69+L69+N69</f>
        <v>928.8</v>
      </c>
      <c r="P69" s="5" t="n">
        <f aca="false">ROUND(H69*1.18/F69,2)</f>
        <v>1161</v>
      </c>
      <c r="Q69" s="5" t="n">
        <f aca="false">ROUND(H69*0.8,2)</f>
        <v>787.12</v>
      </c>
      <c r="R69" s="5" t="n">
        <f aca="false">ROUND(Q69-J69,2)</f>
        <v>0</v>
      </c>
      <c r="S69" s="5" t="n">
        <f aca="false">ROUND(J69*9%,2)</f>
        <v>70.84</v>
      </c>
      <c r="T69" s="5" t="n">
        <f aca="false">ROUND(S69-L69,2)</f>
        <v>0</v>
      </c>
      <c r="U69" s="4" t="n">
        <v>3</v>
      </c>
      <c r="V69" s="4" t="s">
        <v>26</v>
      </c>
      <c r="W69" s="7"/>
      <c r="X69" s="5" t="n">
        <f aca="false">ROUND(J69/F69,2)</f>
        <v>787.12</v>
      </c>
    </row>
    <row r="70" customFormat="false" ht="15" hidden="false" customHeight="false" outlineLevel="0" collapsed="false">
      <c r="A70" s="3" t="n">
        <v>69</v>
      </c>
      <c r="B70" s="3" t="s">
        <v>169</v>
      </c>
      <c r="C70" s="3" t="s">
        <v>170</v>
      </c>
      <c r="D70" s="4" t="s">
        <v>34</v>
      </c>
      <c r="E70" s="5" t="n">
        <v>258</v>
      </c>
      <c r="F70" s="4" t="n">
        <v>3</v>
      </c>
      <c r="G70" s="5" t="n">
        <v>218.64</v>
      </c>
      <c r="H70" s="5" t="n">
        <v>655.93</v>
      </c>
      <c r="I70" s="6" t="n">
        <v>0.2</v>
      </c>
      <c r="J70" s="5" t="n">
        <v>524.75</v>
      </c>
      <c r="K70" s="6" t="n">
        <v>0.09</v>
      </c>
      <c r="L70" s="5" t="n">
        <v>47.23</v>
      </c>
      <c r="M70" s="6" t="n">
        <v>0.09</v>
      </c>
      <c r="N70" s="5" t="n">
        <v>47.23</v>
      </c>
      <c r="O70" s="5" t="n">
        <f aca="false">J70+L70+N70</f>
        <v>619.21</v>
      </c>
      <c r="P70" s="5" t="n">
        <f aca="false">ROUND(H70*1.18/F70,2)</f>
        <v>258</v>
      </c>
      <c r="Q70" s="5" t="n">
        <f aca="false">ROUND(H70*0.8,2)</f>
        <v>524.74</v>
      </c>
      <c r="R70" s="5" t="n">
        <f aca="false">ROUND(Q70-J70,2)</f>
        <v>-0.01</v>
      </c>
      <c r="S70" s="5" t="n">
        <f aca="false">ROUND(J70*9%,2)</f>
        <v>47.23</v>
      </c>
      <c r="T70" s="5" t="n">
        <f aca="false">ROUND(S70-L70,2)</f>
        <v>0</v>
      </c>
      <c r="U70" s="4" t="n">
        <v>3</v>
      </c>
      <c r="V70" s="4" t="s">
        <v>26</v>
      </c>
      <c r="W70" s="7"/>
      <c r="X70" s="5" t="n">
        <f aca="false">ROUND(J70/F70,2)</f>
        <v>174.92</v>
      </c>
    </row>
    <row r="71" customFormat="false" ht="15" hidden="false" customHeight="false" outlineLevel="0" collapsed="false">
      <c r="A71" s="3" t="n">
        <v>70</v>
      </c>
      <c r="B71" s="3" t="s">
        <v>171</v>
      </c>
      <c r="C71" s="3" t="s">
        <v>172</v>
      </c>
      <c r="D71" s="4" t="s">
        <v>34</v>
      </c>
      <c r="E71" s="5" t="n">
        <v>248</v>
      </c>
      <c r="F71" s="4" t="n">
        <v>5</v>
      </c>
      <c r="G71" s="5" t="n">
        <v>210.17</v>
      </c>
      <c r="H71" s="5" t="n">
        <v>1050.85</v>
      </c>
      <c r="I71" s="6" t="n">
        <v>0.2</v>
      </c>
      <c r="J71" s="5" t="n">
        <v>840.68</v>
      </c>
      <c r="K71" s="6" t="n">
        <v>0.09</v>
      </c>
      <c r="L71" s="5" t="n">
        <v>75.66</v>
      </c>
      <c r="M71" s="6" t="n">
        <v>0.09</v>
      </c>
      <c r="N71" s="5" t="n">
        <v>75.66</v>
      </c>
      <c r="O71" s="5" t="n">
        <f aca="false">J71+L71+N71</f>
        <v>992</v>
      </c>
      <c r="P71" s="5" t="n">
        <f aca="false">ROUND(H71*1.18/F71,2)</f>
        <v>248</v>
      </c>
      <c r="Q71" s="5" t="n">
        <f aca="false">ROUND(H71*0.8,2)</f>
        <v>840.68</v>
      </c>
      <c r="R71" s="5" t="n">
        <f aca="false">ROUND(Q71-J71,2)</f>
        <v>0</v>
      </c>
      <c r="S71" s="5" t="n">
        <f aca="false">ROUND(J71*9%,2)</f>
        <v>75.66</v>
      </c>
      <c r="T71" s="5" t="n">
        <f aca="false">ROUND(S71-L71,2)</f>
        <v>0</v>
      </c>
      <c r="U71" s="4" t="n">
        <v>3</v>
      </c>
      <c r="V71" s="4" t="s">
        <v>26</v>
      </c>
      <c r="W71" s="7"/>
      <c r="X71" s="5" t="n">
        <f aca="false">ROUND(J71/F71,2)</f>
        <v>168.14</v>
      </c>
    </row>
    <row r="72" customFormat="false" ht="15" hidden="false" customHeight="false" outlineLevel="0" collapsed="false">
      <c r="A72" s="3" t="n">
        <v>71</v>
      </c>
      <c r="B72" s="3" t="s">
        <v>173</v>
      </c>
      <c r="C72" s="3" t="s">
        <v>174</v>
      </c>
      <c r="D72" s="4" t="s">
        <v>34</v>
      </c>
      <c r="E72" s="5" t="n">
        <v>64</v>
      </c>
      <c r="F72" s="4" t="n">
        <v>5</v>
      </c>
      <c r="G72" s="5" t="n">
        <v>54.24</v>
      </c>
      <c r="H72" s="5" t="n">
        <v>271.19</v>
      </c>
      <c r="I72" s="6" t="n">
        <v>0.2</v>
      </c>
      <c r="J72" s="5" t="n">
        <v>216.95</v>
      </c>
      <c r="K72" s="6" t="n">
        <v>0.09</v>
      </c>
      <c r="L72" s="5" t="n">
        <v>19.53</v>
      </c>
      <c r="M72" s="6" t="n">
        <v>0.09</v>
      </c>
      <c r="N72" s="5" t="n">
        <v>19.53</v>
      </c>
      <c r="O72" s="5" t="n">
        <f aca="false">J72+L72+N72</f>
        <v>256.01</v>
      </c>
      <c r="P72" s="5" t="n">
        <f aca="false">ROUND(H72*1.18/F72,2)</f>
        <v>64</v>
      </c>
      <c r="Q72" s="5" t="n">
        <f aca="false">ROUND(H72*0.8,2)</f>
        <v>216.95</v>
      </c>
      <c r="R72" s="5" t="n">
        <f aca="false">ROUND(Q72-J72,2)</f>
        <v>0</v>
      </c>
      <c r="S72" s="5" t="n">
        <f aca="false">ROUND(J72*9%,2)</f>
        <v>19.53</v>
      </c>
      <c r="T72" s="5" t="n">
        <f aca="false">ROUND(S72-L72,2)</f>
        <v>0</v>
      </c>
      <c r="U72" s="4" t="n">
        <v>3</v>
      </c>
      <c r="V72" s="4" t="s">
        <v>26</v>
      </c>
      <c r="W72" s="7"/>
      <c r="X72" s="5" t="n">
        <f aca="false">ROUND(J72/F72,2)</f>
        <v>43.39</v>
      </c>
    </row>
    <row r="73" customFormat="false" ht="15" hidden="false" customHeight="false" outlineLevel="0" collapsed="false">
      <c r="A73" s="3" t="n">
        <v>72</v>
      </c>
      <c r="B73" s="3" t="s">
        <v>175</v>
      </c>
      <c r="C73" s="3" t="s">
        <v>176</v>
      </c>
      <c r="D73" s="4" t="s">
        <v>34</v>
      </c>
      <c r="E73" s="5" t="n">
        <v>479</v>
      </c>
      <c r="F73" s="4" t="n">
        <v>2</v>
      </c>
      <c r="G73" s="5" t="n">
        <v>405.93</v>
      </c>
      <c r="H73" s="5" t="n">
        <v>811.86</v>
      </c>
      <c r="I73" s="6" t="n">
        <v>0.2</v>
      </c>
      <c r="J73" s="5" t="n">
        <v>649.49</v>
      </c>
      <c r="K73" s="6" t="n">
        <v>0.09</v>
      </c>
      <c r="L73" s="5" t="n">
        <v>58.45</v>
      </c>
      <c r="M73" s="6" t="n">
        <v>0.09</v>
      </c>
      <c r="N73" s="5" t="n">
        <v>58.45</v>
      </c>
      <c r="O73" s="5" t="n">
        <f aca="false">J73+L73+N73</f>
        <v>766.39</v>
      </c>
      <c r="P73" s="5" t="n">
        <f aca="false">ROUND(H73*1.18/F73,2)</f>
        <v>479</v>
      </c>
      <c r="Q73" s="5" t="n">
        <f aca="false">ROUND(H73*0.8,2)</f>
        <v>649.49</v>
      </c>
      <c r="R73" s="5" t="n">
        <f aca="false">ROUND(Q73-J73,2)</f>
        <v>0</v>
      </c>
      <c r="S73" s="5" t="n">
        <f aca="false">ROUND(J73*9%,2)</f>
        <v>58.45</v>
      </c>
      <c r="T73" s="5" t="n">
        <f aca="false">ROUND(S73-L73,2)</f>
        <v>0</v>
      </c>
      <c r="U73" s="4" t="n">
        <v>3</v>
      </c>
      <c r="V73" s="4" t="s">
        <v>26</v>
      </c>
      <c r="W73" s="7"/>
      <c r="X73" s="5" t="n">
        <f aca="false">ROUND(J73/F73,2)</f>
        <v>324.75</v>
      </c>
    </row>
    <row r="74" customFormat="false" ht="15" hidden="false" customHeight="false" outlineLevel="0" collapsed="false">
      <c r="A74" s="3" t="n">
        <v>73</v>
      </c>
      <c r="B74" s="3" t="s">
        <v>177</v>
      </c>
      <c r="C74" s="3" t="s">
        <v>178</v>
      </c>
      <c r="D74" s="4" t="s">
        <v>34</v>
      </c>
      <c r="E74" s="5" t="n">
        <v>202</v>
      </c>
      <c r="F74" s="4" t="n">
        <v>5</v>
      </c>
      <c r="G74" s="5" t="n">
        <v>171.19</v>
      </c>
      <c r="H74" s="5" t="n">
        <v>855.93</v>
      </c>
      <c r="I74" s="6" t="n">
        <v>0.2</v>
      </c>
      <c r="J74" s="5" t="n">
        <v>684.75</v>
      </c>
      <c r="K74" s="6" t="n">
        <v>0.09</v>
      </c>
      <c r="L74" s="5" t="n">
        <v>61.63</v>
      </c>
      <c r="M74" s="6" t="n">
        <v>0.09</v>
      </c>
      <c r="N74" s="5" t="n">
        <v>61.63</v>
      </c>
      <c r="O74" s="5" t="n">
        <f aca="false">J74+L74+N74</f>
        <v>808.01</v>
      </c>
      <c r="P74" s="5" t="n">
        <f aca="false">ROUND(H74*1.18/F74,2)</f>
        <v>202</v>
      </c>
      <c r="Q74" s="5" t="n">
        <f aca="false">ROUND(H74*0.8,2)</f>
        <v>684.74</v>
      </c>
      <c r="R74" s="5" t="n">
        <f aca="false">ROUND(Q74-J74,2)</f>
        <v>-0.01</v>
      </c>
      <c r="S74" s="5" t="n">
        <f aca="false">ROUND(J74*9%,2)</f>
        <v>61.63</v>
      </c>
      <c r="T74" s="5" t="n">
        <f aca="false">ROUND(S74-L74,2)</f>
        <v>0</v>
      </c>
      <c r="U74" s="4" t="n">
        <v>3</v>
      </c>
      <c r="V74" s="4" t="s">
        <v>26</v>
      </c>
      <c r="W74" s="7"/>
      <c r="X74" s="5" t="n">
        <f aca="false">ROUND(J74/F74,2)</f>
        <v>136.95</v>
      </c>
    </row>
    <row r="75" customFormat="false" ht="15" hidden="false" customHeight="false" outlineLevel="0" collapsed="false">
      <c r="A75" s="3" t="n">
        <v>74</v>
      </c>
      <c r="B75" s="3" t="s">
        <v>179</v>
      </c>
      <c r="C75" s="3" t="s">
        <v>180</v>
      </c>
      <c r="D75" s="4" t="s">
        <v>34</v>
      </c>
      <c r="E75" s="5" t="n">
        <v>168</v>
      </c>
      <c r="F75" s="4" t="n">
        <v>5</v>
      </c>
      <c r="G75" s="5" t="n">
        <v>142.37</v>
      </c>
      <c r="H75" s="5" t="n">
        <v>711.86</v>
      </c>
      <c r="I75" s="6" t="n">
        <v>0.2</v>
      </c>
      <c r="J75" s="5" t="n">
        <v>569.49</v>
      </c>
      <c r="K75" s="6" t="n">
        <v>0.09</v>
      </c>
      <c r="L75" s="5" t="n">
        <v>51.25</v>
      </c>
      <c r="M75" s="6" t="n">
        <v>0.09</v>
      </c>
      <c r="N75" s="5" t="n">
        <v>51.25</v>
      </c>
      <c r="O75" s="5" t="n">
        <f aca="false">J75+L75+N75</f>
        <v>671.99</v>
      </c>
      <c r="P75" s="5" t="n">
        <f aca="false">ROUND(H75*1.18/F75,2)</f>
        <v>168</v>
      </c>
      <c r="Q75" s="5" t="n">
        <f aca="false">ROUND(H75*0.8,2)</f>
        <v>569.49</v>
      </c>
      <c r="R75" s="5" t="n">
        <f aca="false">ROUND(Q75-J75,2)</f>
        <v>0</v>
      </c>
      <c r="S75" s="5" t="n">
        <f aca="false">ROUND(J75*9%,2)</f>
        <v>51.25</v>
      </c>
      <c r="T75" s="5" t="n">
        <f aca="false">ROUND(S75-L75,2)</f>
        <v>0</v>
      </c>
      <c r="U75" s="4" t="n">
        <v>3</v>
      </c>
      <c r="V75" s="4" t="s">
        <v>26</v>
      </c>
      <c r="W75" s="7"/>
      <c r="X75" s="5" t="n">
        <f aca="false">ROUND(J75/F75,2)</f>
        <v>113.9</v>
      </c>
    </row>
    <row r="76" customFormat="false" ht="15" hidden="false" customHeight="false" outlineLevel="0" collapsed="false">
      <c r="A76" s="3" t="n">
        <v>75</v>
      </c>
      <c r="B76" s="3" t="s">
        <v>181</v>
      </c>
      <c r="C76" s="3" t="s">
        <v>182</v>
      </c>
      <c r="D76" s="4" t="s">
        <v>34</v>
      </c>
      <c r="E76" s="5" t="n">
        <v>147</v>
      </c>
      <c r="F76" s="4" t="n">
        <v>5</v>
      </c>
      <c r="G76" s="5" t="n">
        <v>124.58</v>
      </c>
      <c r="H76" s="5" t="n">
        <v>622.88</v>
      </c>
      <c r="I76" s="6" t="n">
        <v>0.2</v>
      </c>
      <c r="J76" s="5" t="n">
        <v>498.31</v>
      </c>
      <c r="K76" s="6" t="n">
        <v>0.09</v>
      </c>
      <c r="L76" s="5" t="n">
        <v>44.85</v>
      </c>
      <c r="M76" s="6" t="n">
        <v>0.09</v>
      </c>
      <c r="N76" s="5" t="n">
        <v>44.85</v>
      </c>
      <c r="O76" s="5" t="n">
        <f aca="false">J76+L76+N76</f>
        <v>588.01</v>
      </c>
      <c r="P76" s="5" t="n">
        <f aca="false">ROUND(H76*1.18/F76,2)</f>
        <v>147</v>
      </c>
      <c r="Q76" s="5" t="n">
        <f aca="false">ROUND(H76*0.8,2)</f>
        <v>498.3</v>
      </c>
      <c r="R76" s="5" t="n">
        <f aca="false">ROUND(Q76-J76,2)</f>
        <v>-0.01</v>
      </c>
      <c r="S76" s="5" t="n">
        <f aca="false">ROUND(J76*9%,2)</f>
        <v>44.85</v>
      </c>
      <c r="T76" s="5" t="n">
        <f aca="false">ROUND(S76-L76,2)</f>
        <v>0</v>
      </c>
      <c r="U76" s="4" t="n">
        <v>3</v>
      </c>
      <c r="V76" s="4" t="s">
        <v>26</v>
      </c>
      <c r="W76" s="7"/>
      <c r="X76" s="5" t="n">
        <f aca="false">ROUND(J76/F76,2)</f>
        <v>99.66</v>
      </c>
    </row>
    <row r="77" customFormat="false" ht="15" hidden="false" customHeight="false" outlineLevel="0" collapsed="false">
      <c r="A77" s="3" t="n">
        <v>76</v>
      </c>
      <c r="B77" s="3" t="s">
        <v>183</v>
      </c>
      <c r="C77" s="3" t="s">
        <v>184</v>
      </c>
      <c r="D77" s="4" t="s">
        <v>34</v>
      </c>
      <c r="E77" s="5" t="n">
        <v>165</v>
      </c>
      <c r="F77" s="4" t="n">
        <v>5</v>
      </c>
      <c r="G77" s="5" t="n">
        <v>139.83</v>
      </c>
      <c r="H77" s="5" t="n">
        <v>699.15</v>
      </c>
      <c r="I77" s="6" t="n">
        <v>0.2</v>
      </c>
      <c r="J77" s="5" t="n">
        <v>559.32</v>
      </c>
      <c r="K77" s="6" t="n">
        <v>0.09</v>
      </c>
      <c r="L77" s="5" t="n">
        <v>50.34</v>
      </c>
      <c r="M77" s="6" t="n">
        <v>0.09</v>
      </c>
      <c r="N77" s="5" t="n">
        <v>50.34</v>
      </c>
      <c r="O77" s="5" t="n">
        <f aca="false">J77+L77+N77</f>
        <v>660</v>
      </c>
      <c r="P77" s="5" t="n">
        <f aca="false">ROUND(H77*1.18/F77,2)</f>
        <v>165</v>
      </c>
      <c r="Q77" s="5" t="n">
        <f aca="false">ROUND(H77*0.8,2)</f>
        <v>559.32</v>
      </c>
      <c r="R77" s="5" t="n">
        <f aca="false">ROUND(Q77-J77,2)</f>
        <v>0</v>
      </c>
      <c r="S77" s="5" t="n">
        <f aca="false">ROUND(J77*9%,2)</f>
        <v>50.34</v>
      </c>
      <c r="T77" s="5" t="n">
        <f aca="false">ROUND(S77-L77,2)</f>
        <v>0</v>
      </c>
      <c r="U77" s="4" t="n">
        <v>3</v>
      </c>
      <c r="V77" s="4" t="s">
        <v>26</v>
      </c>
      <c r="W77" s="7"/>
      <c r="X77" s="5" t="n">
        <f aca="false">ROUND(J77/F77,2)</f>
        <v>111.86</v>
      </c>
    </row>
    <row r="78" customFormat="false" ht="15" hidden="false" customHeight="false" outlineLevel="0" collapsed="false">
      <c r="A78" s="3" t="n">
        <v>77</v>
      </c>
      <c r="B78" s="3" t="s">
        <v>185</v>
      </c>
      <c r="C78" s="3" t="s">
        <v>186</v>
      </c>
      <c r="D78" s="4" t="s">
        <v>34</v>
      </c>
      <c r="E78" s="5" t="n">
        <v>175</v>
      </c>
      <c r="F78" s="4" t="n">
        <v>5</v>
      </c>
      <c r="G78" s="5" t="n">
        <v>148.31</v>
      </c>
      <c r="H78" s="5" t="n">
        <v>741.53</v>
      </c>
      <c r="I78" s="6" t="n">
        <v>0.2</v>
      </c>
      <c r="J78" s="5" t="n">
        <v>593.22</v>
      </c>
      <c r="K78" s="6" t="n">
        <v>0.09</v>
      </c>
      <c r="L78" s="5" t="n">
        <v>53.39</v>
      </c>
      <c r="M78" s="6" t="n">
        <v>0.09</v>
      </c>
      <c r="N78" s="5" t="n">
        <v>53.39</v>
      </c>
      <c r="O78" s="5" t="n">
        <f aca="false">J78+L78+N78</f>
        <v>700</v>
      </c>
      <c r="P78" s="5" t="n">
        <f aca="false">ROUND(H78*1.18/F78,2)</f>
        <v>175</v>
      </c>
      <c r="Q78" s="5" t="n">
        <f aca="false">ROUND(H78*0.8,2)</f>
        <v>593.22</v>
      </c>
      <c r="R78" s="5" t="n">
        <f aca="false">ROUND(Q78-J78,2)</f>
        <v>0</v>
      </c>
      <c r="S78" s="5" t="n">
        <f aca="false">ROUND(J78*9%,2)</f>
        <v>53.39</v>
      </c>
      <c r="T78" s="5" t="n">
        <f aca="false">ROUND(S78-L78,2)</f>
        <v>0</v>
      </c>
      <c r="U78" s="4" t="n">
        <v>3</v>
      </c>
      <c r="V78" s="4" t="s">
        <v>26</v>
      </c>
      <c r="W78" s="7"/>
      <c r="X78" s="5" t="n">
        <f aca="false">ROUND(J78/F78,2)</f>
        <v>118.64</v>
      </c>
    </row>
    <row r="79" customFormat="false" ht="15" hidden="false" customHeight="false" outlineLevel="0" collapsed="false">
      <c r="A79" s="3" t="n">
        <v>78</v>
      </c>
      <c r="B79" s="3" t="s">
        <v>187</v>
      </c>
      <c r="C79" s="3" t="s">
        <v>188</v>
      </c>
      <c r="D79" s="4" t="s">
        <v>34</v>
      </c>
      <c r="E79" s="5" t="n">
        <v>580</v>
      </c>
      <c r="F79" s="4" t="n">
        <v>2</v>
      </c>
      <c r="G79" s="5" t="n">
        <v>491.53</v>
      </c>
      <c r="H79" s="5" t="n">
        <v>983.05</v>
      </c>
      <c r="I79" s="6" t="n">
        <v>0.2</v>
      </c>
      <c r="J79" s="5" t="n">
        <v>786.44</v>
      </c>
      <c r="K79" s="6" t="n">
        <v>0.09</v>
      </c>
      <c r="L79" s="5" t="n">
        <v>70.78</v>
      </c>
      <c r="M79" s="6" t="n">
        <v>0.09</v>
      </c>
      <c r="N79" s="5" t="n">
        <v>70.78</v>
      </c>
      <c r="O79" s="5" t="n">
        <f aca="false">J79+L79+N79</f>
        <v>928</v>
      </c>
      <c r="P79" s="5" t="n">
        <f aca="false">ROUND(H79*1.18/F79,2)</f>
        <v>580</v>
      </c>
      <c r="Q79" s="5" t="n">
        <f aca="false">ROUND(H79*0.8,2)</f>
        <v>786.44</v>
      </c>
      <c r="R79" s="5" t="n">
        <f aca="false">ROUND(Q79-J79,2)</f>
        <v>0</v>
      </c>
      <c r="S79" s="5" t="n">
        <f aca="false">ROUND(J79*9%,2)</f>
        <v>70.78</v>
      </c>
      <c r="T79" s="5" t="n">
        <f aca="false">ROUND(S79-L79,2)</f>
        <v>0</v>
      </c>
      <c r="U79" s="4" t="n">
        <v>3</v>
      </c>
      <c r="V79" s="4" t="s">
        <v>26</v>
      </c>
      <c r="W79" s="7"/>
      <c r="X79" s="5" t="n">
        <f aca="false">ROUND(J79/F79,2)</f>
        <v>393.22</v>
      </c>
    </row>
    <row r="80" customFormat="false" ht="15" hidden="false" customHeight="false" outlineLevel="0" collapsed="false">
      <c r="A80" s="3" t="n">
        <v>79</v>
      </c>
      <c r="B80" s="3" t="s">
        <v>189</v>
      </c>
      <c r="C80" s="3" t="s">
        <v>190</v>
      </c>
      <c r="D80" s="4" t="s">
        <v>34</v>
      </c>
      <c r="E80" s="5" t="n">
        <v>622</v>
      </c>
      <c r="F80" s="4" t="n">
        <v>2</v>
      </c>
      <c r="G80" s="5" t="n">
        <v>527.12</v>
      </c>
      <c r="H80" s="5" t="n">
        <v>1054.24</v>
      </c>
      <c r="I80" s="6" t="n">
        <v>0.2</v>
      </c>
      <c r="J80" s="5" t="n">
        <v>843.39</v>
      </c>
      <c r="K80" s="6" t="n">
        <v>0.09</v>
      </c>
      <c r="L80" s="5" t="n">
        <v>75.91</v>
      </c>
      <c r="M80" s="6" t="n">
        <v>0.09</v>
      </c>
      <c r="N80" s="5" t="n">
        <v>75.91</v>
      </c>
      <c r="O80" s="5" t="n">
        <f aca="false">J80+L80+N80</f>
        <v>995.21</v>
      </c>
      <c r="P80" s="5" t="n">
        <f aca="false">ROUND(H80*1.18/F80,2)</f>
        <v>622</v>
      </c>
      <c r="Q80" s="5" t="n">
        <f aca="false">ROUND(H80*0.8,2)</f>
        <v>843.39</v>
      </c>
      <c r="R80" s="5" t="n">
        <f aca="false">ROUND(Q80-J80,2)</f>
        <v>0</v>
      </c>
      <c r="S80" s="5" t="n">
        <f aca="false">ROUND(J80*9%,2)</f>
        <v>75.91</v>
      </c>
      <c r="T80" s="5" t="n">
        <f aca="false">ROUND(S80-L80,2)</f>
        <v>0</v>
      </c>
      <c r="U80" s="4" t="n">
        <v>3</v>
      </c>
      <c r="V80" s="4" t="s">
        <v>26</v>
      </c>
      <c r="W80" s="7"/>
      <c r="X80" s="5" t="n">
        <f aca="false">ROUND(J80/F80,2)</f>
        <v>421.7</v>
      </c>
    </row>
    <row r="81" customFormat="false" ht="15" hidden="false" customHeight="false" outlineLevel="0" collapsed="false">
      <c r="A81" s="3" t="n">
        <v>80</v>
      </c>
      <c r="B81" s="3" t="s">
        <v>191</v>
      </c>
      <c r="C81" s="3" t="s">
        <v>192</v>
      </c>
      <c r="D81" s="4" t="s">
        <v>34</v>
      </c>
      <c r="E81" s="5" t="n">
        <v>470</v>
      </c>
      <c r="F81" s="4" t="n">
        <v>3</v>
      </c>
      <c r="G81" s="5" t="n">
        <v>398.31</v>
      </c>
      <c r="H81" s="5" t="n">
        <v>1194.92</v>
      </c>
      <c r="I81" s="6" t="n">
        <v>0.2</v>
      </c>
      <c r="J81" s="5" t="n">
        <v>955.93</v>
      </c>
      <c r="K81" s="6" t="n">
        <v>0.09</v>
      </c>
      <c r="L81" s="5" t="n">
        <v>86.03</v>
      </c>
      <c r="M81" s="6" t="n">
        <v>0.09</v>
      </c>
      <c r="N81" s="5" t="n">
        <v>86.03</v>
      </c>
      <c r="O81" s="5" t="n">
        <f aca="false">J81+L81+N81</f>
        <v>1127.99</v>
      </c>
      <c r="P81" s="5" t="n">
        <f aca="false">ROUND(H81*1.18/F81,2)</f>
        <v>470</v>
      </c>
      <c r="Q81" s="5" t="n">
        <f aca="false">ROUND(H81*0.8,2)</f>
        <v>955.94</v>
      </c>
      <c r="R81" s="5" t="n">
        <f aca="false">ROUND(Q81-J81,2)</f>
        <v>0.01</v>
      </c>
      <c r="S81" s="5" t="n">
        <f aca="false">ROUND(J81*9%,2)</f>
        <v>86.03</v>
      </c>
      <c r="T81" s="5" t="n">
        <f aca="false">ROUND(S81-L81,2)</f>
        <v>0</v>
      </c>
      <c r="U81" s="4" t="n">
        <v>3</v>
      </c>
      <c r="V81" s="4" t="s">
        <v>26</v>
      </c>
      <c r="W81" s="7"/>
      <c r="X81" s="5" t="n">
        <f aca="false">ROUND(J81/F81,2)</f>
        <v>318.64</v>
      </c>
    </row>
    <row r="82" customFormat="false" ht="15" hidden="false" customHeight="false" outlineLevel="0" collapsed="false">
      <c r="A82" s="3" t="n">
        <v>81</v>
      </c>
      <c r="B82" s="3" t="s">
        <v>193</v>
      </c>
      <c r="C82" s="3" t="s">
        <v>194</v>
      </c>
      <c r="D82" s="4" t="s">
        <v>34</v>
      </c>
      <c r="E82" s="5" t="n">
        <v>483</v>
      </c>
      <c r="F82" s="4" t="n">
        <v>3</v>
      </c>
      <c r="G82" s="5" t="n">
        <v>409.32</v>
      </c>
      <c r="H82" s="5" t="n">
        <v>1227.97</v>
      </c>
      <c r="I82" s="6" t="n">
        <v>0.2</v>
      </c>
      <c r="J82" s="5" t="n">
        <v>982.37</v>
      </c>
      <c r="K82" s="6" t="n">
        <v>0.09</v>
      </c>
      <c r="L82" s="5" t="n">
        <v>88.41</v>
      </c>
      <c r="M82" s="6" t="n">
        <v>0.09</v>
      </c>
      <c r="N82" s="5" t="n">
        <v>88.41</v>
      </c>
      <c r="O82" s="5" t="n">
        <f aca="false">J82+L82+N82</f>
        <v>1159.19</v>
      </c>
      <c r="P82" s="5" t="n">
        <f aca="false">ROUND(H82*1.18/F82,2)</f>
        <v>483</v>
      </c>
      <c r="Q82" s="5" t="n">
        <f aca="false">ROUND(H82*0.8,2)</f>
        <v>982.38</v>
      </c>
      <c r="R82" s="5" t="n">
        <f aca="false">ROUND(Q82-J82,2)</f>
        <v>0.01</v>
      </c>
      <c r="S82" s="5" t="n">
        <f aca="false">ROUND(J82*9%,2)</f>
        <v>88.41</v>
      </c>
      <c r="T82" s="5" t="n">
        <f aca="false">ROUND(S82-L82,2)</f>
        <v>0</v>
      </c>
      <c r="U82" s="4" t="n">
        <v>3</v>
      </c>
      <c r="V82" s="4" t="s">
        <v>26</v>
      </c>
      <c r="W82" s="7"/>
      <c r="X82" s="5" t="n">
        <f aca="false">ROUND(J82/F82,2)</f>
        <v>327.46</v>
      </c>
    </row>
    <row r="83" customFormat="false" ht="15" hidden="false" customHeight="false" outlineLevel="0" collapsed="false">
      <c r="A83" s="3" t="n">
        <v>82</v>
      </c>
      <c r="B83" s="3" t="s">
        <v>195</v>
      </c>
      <c r="C83" s="3" t="s">
        <v>196</v>
      </c>
      <c r="D83" s="4" t="s">
        <v>34</v>
      </c>
      <c r="E83" s="5" t="n">
        <v>187</v>
      </c>
      <c r="F83" s="4" t="n">
        <v>5</v>
      </c>
      <c r="G83" s="5" t="n">
        <v>158.47</v>
      </c>
      <c r="H83" s="5" t="n">
        <v>792.37</v>
      </c>
      <c r="I83" s="6" t="n">
        <v>0.2</v>
      </c>
      <c r="J83" s="5" t="n">
        <v>633.9</v>
      </c>
      <c r="K83" s="6" t="n">
        <v>0.09</v>
      </c>
      <c r="L83" s="5" t="n">
        <v>57.05</v>
      </c>
      <c r="M83" s="6" t="n">
        <v>0.09</v>
      </c>
      <c r="N83" s="5" t="n">
        <v>57.05</v>
      </c>
      <c r="O83" s="5" t="n">
        <f aca="false">J83+L83+N83</f>
        <v>748</v>
      </c>
      <c r="P83" s="5" t="n">
        <f aca="false">ROUND(H83*1.18/F83,2)</f>
        <v>187</v>
      </c>
      <c r="Q83" s="5" t="n">
        <f aca="false">ROUND(H83*0.8,2)</f>
        <v>633.9</v>
      </c>
      <c r="R83" s="5" t="n">
        <f aca="false">ROUND(Q83-J83,2)</f>
        <v>0</v>
      </c>
      <c r="S83" s="5" t="n">
        <f aca="false">ROUND(J83*9%,2)</f>
        <v>57.05</v>
      </c>
      <c r="T83" s="5" t="n">
        <f aca="false">ROUND(S83-L83,2)</f>
        <v>0</v>
      </c>
      <c r="U83" s="4" t="n">
        <v>3</v>
      </c>
      <c r="V83" s="4" t="s">
        <v>26</v>
      </c>
      <c r="W83" s="7"/>
      <c r="X83" s="5" t="n">
        <f aca="false">ROUND(J83/F83,2)</f>
        <v>126.78</v>
      </c>
    </row>
    <row r="84" customFormat="false" ht="15" hidden="false" customHeight="false" outlineLevel="0" collapsed="false">
      <c r="A84" s="3" t="n">
        <v>83</v>
      </c>
      <c r="B84" s="3" t="s">
        <v>197</v>
      </c>
      <c r="C84" s="3" t="s">
        <v>198</v>
      </c>
      <c r="D84" s="4" t="s">
        <v>34</v>
      </c>
      <c r="E84" s="5" t="n">
        <v>425</v>
      </c>
      <c r="F84" s="4" t="n">
        <v>3</v>
      </c>
      <c r="G84" s="5" t="n">
        <v>360.17</v>
      </c>
      <c r="H84" s="5" t="n">
        <v>1080.51</v>
      </c>
      <c r="I84" s="6" t="n">
        <v>0.2</v>
      </c>
      <c r="J84" s="5" t="n">
        <v>864.41</v>
      </c>
      <c r="K84" s="6" t="n">
        <v>0.09</v>
      </c>
      <c r="L84" s="5" t="n">
        <v>77.8</v>
      </c>
      <c r="M84" s="6" t="n">
        <v>0.09</v>
      </c>
      <c r="N84" s="5" t="n">
        <v>77.8</v>
      </c>
      <c r="O84" s="5" t="n">
        <f aca="false">J84+L84+N84</f>
        <v>1020.01</v>
      </c>
      <c r="P84" s="5" t="n">
        <f aca="false">ROUND(H84*1.18/F84,2)</f>
        <v>425</v>
      </c>
      <c r="Q84" s="5" t="n">
        <f aca="false">ROUND(H84*0.8,2)</f>
        <v>864.41</v>
      </c>
      <c r="R84" s="5" t="n">
        <f aca="false">ROUND(Q84-J84,2)</f>
        <v>0</v>
      </c>
      <c r="S84" s="5" t="n">
        <f aca="false">ROUND(J84*9%,2)</f>
        <v>77.8</v>
      </c>
      <c r="T84" s="5" t="n">
        <f aca="false">ROUND(S84-L84,2)</f>
        <v>0</v>
      </c>
      <c r="U84" s="4" t="n">
        <v>3</v>
      </c>
      <c r="V84" s="4" t="s">
        <v>26</v>
      </c>
      <c r="W84" s="7"/>
      <c r="X84" s="5" t="n">
        <f aca="false">ROUND(J84/F84,2)</f>
        <v>288.14</v>
      </c>
    </row>
    <row r="85" customFormat="false" ht="15" hidden="false" customHeight="false" outlineLevel="0" collapsed="false">
      <c r="A85" s="3" t="n">
        <v>84</v>
      </c>
      <c r="B85" s="3" t="s">
        <v>199</v>
      </c>
      <c r="C85" s="3" t="s">
        <v>200</v>
      </c>
      <c r="D85" s="4" t="s">
        <v>34</v>
      </c>
      <c r="E85" s="5" t="n">
        <v>405</v>
      </c>
      <c r="F85" s="4" t="n">
        <v>2</v>
      </c>
      <c r="G85" s="5" t="n">
        <v>343.22</v>
      </c>
      <c r="H85" s="5" t="n">
        <v>686.44</v>
      </c>
      <c r="I85" s="6" t="n">
        <v>0.2</v>
      </c>
      <c r="J85" s="5" t="n">
        <v>549.15</v>
      </c>
      <c r="K85" s="6" t="n">
        <v>0.09</v>
      </c>
      <c r="L85" s="5" t="n">
        <v>49.42</v>
      </c>
      <c r="M85" s="6" t="n">
        <v>0.09</v>
      </c>
      <c r="N85" s="5" t="n">
        <v>49.42</v>
      </c>
      <c r="O85" s="5" t="n">
        <f aca="false">J85+L85+N85</f>
        <v>647.99</v>
      </c>
      <c r="P85" s="5" t="n">
        <f aca="false">ROUND(H85*1.18/F85,2)</f>
        <v>405</v>
      </c>
      <c r="Q85" s="5" t="n">
        <f aca="false">ROUND(H85*0.8,2)</f>
        <v>549.15</v>
      </c>
      <c r="R85" s="5" t="n">
        <f aca="false">ROUND(Q85-J85,2)</f>
        <v>0</v>
      </c>
      <c r="S85" s="5" t="n">
        <f aca="false">ROUND(J85*9%,2)</f>
        <v>49.42</v>
      </c>
      <c r="T85" s="5" t="n">
        <f aca="false">ROUND(S85-L85,2)</f>
        <v>0</v>
      </c>
      <c r="U85" s="4" t="n">
        <v>3</v>
      </c>
      <c r="V85" s="4" t="s">
        <v>26</v>
      </c>
      <c r="W85" s="7"/>
      <c r="X85" s="5" t="n">
        <f aca="false">ROUND(J85/F85,2)</f>
        <v>274.58</v>
      </c>
    </row>
    <row r="86" customFormat="false" ht="15" hidden="false" customHeight="false" outlineLevel="0" collapsed="false">
      <c r="A86" s="3" t="n">
        <v>85</v>
      </c>
      <c r="B86" s="3" t="s">
        <v>201</v>
      </c>
      <c r="C86" s="3" t="s">
        <v>202</v>
      </c>
      <c r="D86" s="4" t="s">
        <v>34</v>
      </c>
      <c r="E86" s="5" t="n">
        <v>152</v>
      </c>
      <c r="F86" s="4" t="n">
        <v>5</v>
      </c>
      <c r="G86" s="5" t="n">
        <v>128.81</v>
      </c>
      <c r="H86" s="5" t="n">
        <v>644.07</v>
      </c>
      <c r="I86" s="6" t="n">
        <v>0.2</v>
      </c>
      <c r="J86" s="5" t="n">
        <v>515.25</v>
      </c>
      <c r="K86" s="6" t="n">
        <v>0.09</v>
      </c>
      <c r="L86" s="5" t="n">
        <v>46.37</v>
      </c>
      <c r="M86" s="6" t="n">
        <v>0.09</v>
      </c>
      <c r="N86" s="5" t="n">
        <v>46.37</v>
      </c>
      <c r="O86" s="5" t="n">
        <f aca="false">J86+L86+N86</f>
        <v>607.99</v>
      </c>
      <c r="P86" s="5" t="n">
        <f aca="false">ROUND(H86*1.18/F86,2)</f>
        <v>152</v>
      </c>
      <c r="Q86" s="5" t="n">
        <f aca="false">ROUND(H86*0.8,2)</f>
        <v>515.26</v>
      </c>
      <c r="R86" s="5" t="n">
        <f aca="false">ROUND(Q86-J86,2)</f>
        <v>0.01</v>
      </c>
      <c r="S86" s="5" t="n">
        <f aca="false">ROUND(J86*9%,2)</f>
        <v>46.37</v>
      </c>
      <c r="T86" s="5" t="n">
        <f aca="false">ROUND(S86-L86,2)</f>
        <v>0</v>
      </c>
      <c r="U86" s="4" t="n">
        <v>3</v>
      </c>
      <c r="V86" s="4" t="s">
        <v>26</v>
      </c>
      <c r="W86" s="7"/>
      <c r="X86" s="5" t="n">
        <f aca="false">ROUND(J86/F86,2)</f>
        <v>103.05</v>
      </c>
    </row>
    <row r="87" customFormat="false" ht="15" hidden="false" customHeight="false" outlineLevel="0" collapsed="false">
      <c r="A87" s="3" t="n">
        <v>86</v>
      </c>
      <c r="B87" s="3" t="s">
        <v>203</v>
      </c>
      <c r="C87" s="3" t="s">
        <v>204</v>
      </c>
      <c r="D87" s="4" t="s">
        <v>34</v>
      </c>
      <c r="E87" s="5" t="n">
        <v>152</v>
      </c>
      <c r="F87" s="4" t="n">
        <v>5</v>
      </c>
      <c r="G87" s="5" t="n">
        <v>128.81</v>
      </c>
      <c r="H87" s="5" t="n">
        <v>644.07</v>
      </c>
      <c r="I87" s="6" t="n">
        <v>0.2</v>
      </c>
      <c r="J87" s="5" t="n">
        <v>515.25</v>
      </c>
      <c r="K87" s="6" t="n">
        <v>0.09</v>
      </c>
      <c r="L87" s="5" t="n">
        <v>46.37</v>
      </c>
      <c r="M87" s="6" t="n">
        <v>0.09</v>
      </c>
      <c r="N87" s="5" t="n">
        <v>46.37</v>
      </c>
      <c r="O87" s="5" t="n">
        <f aca="false">J87+L87+N87</f>
        <v>607.99</v>
      </c>
      <c r="P87" s="5" t="n">
        <f aca="false">ROUND(H87*1.18/F87,2)</f>
        <v>152</v>
      </c>
      <c r="Q87" s="5" t="n">
        <f aca="false">ROUND(H87*0.8,2)</f>
        <v>515.26</v>
      </c>
      <c r="R87" s="5" t="n">
        <f aca="false">ROUND(Q87-J87,2)</f>
        <v>0.01</v>
      </c>
      <c r="S87" s="5" t="n">
        <f aca="false">ROUND(J87*9%,2)</f>
        <v>46.37</v>
      </c>
      <c r="T87" s="5" t="n">
        <f aca="false">ROUND(S87-L87,2)</f>
        <v>0</v>
      </c>
      <c r="U87" s="4" t="n">
        <v>3</v>
      </c>
      <c r="V87" s="4" t="s">
        <v>26</v>
      </c>
      <c r="W87" s="7"/>
      <c r="X87" s="5" t="n">
        <f aca="false">ROUND(J87/F87,2)</f>
        <v>103.05</v>
      </c>
    </row>
    <row r="88" customFormat="false" ht="15" hidden="false" customHeight="false" outlineLevel="0" collapsed="false">
      <c r="A88" s="3" t="n">
        <v>87</v>
      </c>
      <c r="B88" s="3" t="s">
        <v>205</v>
      </c>
      <c r="C88" s="3" t="s">
        <v>206</v>
      </c>
      <c r="D88" s="4" t="s">
        <v>34</v>
      </c>
      <c r="E88" s="5" t="n">
        <v>1926</v>
      </c>
      <c r="F88" s="4" t="n">
        <v>1</v>
      </c>
      <c r="G88" s="5" t="n">
        <v>1632.2</v>
      </c>
      <c r="H88" s="5" t="n">
        <v>1632.2</v>
      </c>
      <c r="I88" s="6" t="n">
        <v>0.2</v>
      </c>
      <c r="J88" s="5" t="n">
        <v>1305.76</v>
      </c>
      <c r="K88" s="6" t="n">
        <v>0.09</v>
      </c>
      <c r="L88" s="5" t="n">
        <v>117.52</v>
      </c>
      <c r="M88" s="6" t="n">
        <v>0.09</v>
      </c>
      <c r="N88" s="5" t="n">
        <v>117.52</v>
      </c>
      <c r="O88" s="5" t="n">
        <f aca="false">J88+L88+N88</f>
        <v>1540.8</v>
      </c>
      <c r="P88" s="5" t="n">
        <f aca="false">ROUND(H88*1.18/F88,2)</f>
        <v>1926</v>
      </c>
      <c r="Q88" s="5" t="n">
        <f aca="false">ROUND(H88*0.8,2)</f>
        <v>1305.76</v>
      </c>
      <c r="R88" s="5" t="n">
        <f aca="false">ROUND(Q88-J88,2)</f>
        <v>0</v>
      </c>
      <c r="S88" s="5" t="n">
        <f aca="false">ROUND(J88*9%,2)</f>
        <v>117.52</v>
      </c>
      <c r="T88" s="5" t="n">
        <f aca="false">ROUND(S88-L88,2)</f>
        <v>0</v>
      </c>
      <c r="U88" s="4" t="n">
        <v>3</v>
      </c>
      <c r="V88" s="4" t="s">
        <v>26</v>
      </c>
      <c r="W88" s="7"/>
      <c r="X88" s="5" t="n">
        <f aca="false">ROUND(J88/F88,2)</f>
        <v>1305.76</v>
      </c>
    </row>
    <row r="89" customFormat="false" ht="15" hidden="false" customHeight="false" outlineLevel="0" collapsed="false">
      <c r="A89" s="3" t="n">
        <v>88</v>
      </c>
      <c r="B89" s="3" t="s">
        <v>207</v>
      </c>
      <c r="C89" s="3" t="s">
        <v>208</v>
      </c>
      <c r="D89" s="4" t="s">
        <v>34</v>
      </c>
      <c r="E89" s="5" t="n">
        <v>1912</v>
      </c>
      <c r="F89" s="4" t="n">
        <v>1</v>
      </c>
      <c r="G89" s="5" t="n">
        <v>1620.34</v>
      </c>
      <c r="H89" s="5" t="n">
        <v>1620.34</v>
      </c>
      <c r="I89" s="6" t="n">
        <v>0.2</v>
      </c>
      <c r="J89" s="5" t="n">
        <v>1296.27</v>
      </c>
      <c r="K89" s="6" t="n">
        <v>0.09</v>
      </c>
      <c r="L89" s="5" t="n">
        <v>116.66</v>
      </c>
      <c r="M89" s="6" t="n">
        <v>0.09</v>
      </c>
      <c r="N89" s="5" t="n">
        <v>116.66</v>
      </c>
      <c r="O89" s="5" t="n">
        <f aca="false">J89+L89+N89</f>
        <v>1529.59</v>
      </c>
      <c r="P89" s="5" t="n">
        <f aca="false">ROUND(H89*1.18/F89,2)</f>
        <v>1912</v>
      </c>
      <c r="Q89" s="5" t="n">
        <f aca="false">ROUND(H89*0.8,2)</f>
        <v>1296.27</v>
      </c>
      <c r="R89" s="5" t="n">
        <f aca="false">ROUND(Q89-J89,2)</f>
        <v>0</v>
      </c>
      <c r="S89" s="5" t="n">
        <f aca="false">ROUND(J89*9%,2)</f>
        <v>116.66</v>
      </c>
      <c r="T89" s="5" t="n">
        <f aca="false">ROUND(S89-L89,2)</f>
        <v>0</v>
      </c>
      <c r="U89" s="4" t="n">
        <v>3</v>
      </c>
      <c r="V89" s="4" t="s">
        <v>26</v>
      </c>
      <c r="W89" s="7"/>
      <c r="X89" s="5" t="n">
        <f aca="false">ROUND(J89/F89,2)</f>
        <v>1296.27</v>
      </c>
    </row>
    <row r="90" customFormat="false" ht="15" hidden="false" customHeight="false" outlineLevel="0" collapsed="false">
      <c r="A90" s="3" t="n">
        <v>89</v>
      </c>
      <c r="B90" s="3" t="s">
        <v>209</v>
      </c>
      <c r="C90" s="3" t="s">
        <v>210</v>
      </c>
      <c r="D90" s="4" t="s">
        <v>34</v>
      </c>
      <c r="E90" s="5" t="n">
        <v>368</v>
      </c>
      <c r="F90" s="4" t="n">
        <v>2</v>
      </c>
      <c r="G90" s="5" t="n">
        <v>311.86</v>
      </c>
      <c r="H90" s="5" t="n">
        <v>623.73</v>
      </c>
      <c r="I90" s="6" t="n">
        <v>0.2</v>
      </c>
      <c r="J90" s="5" t="n">
        <v>498.98</v>
      </c>
      <c r="K90" s="6" t="n">
        <v>0.09</v>
      </c>
      <c r="L90" s="5" t="n">
        <v>44.91</v>
      </c>
      <c r="M90" s="6" t="n">
        <v>0.09</v>
      </c>
      <c r="N90" s="5" t="n">
        <v>44.91</v>
      </c>
      <c r="O90" s="5" t="n">
        <f aca="false">J90+L90+N90</f>
        <v>588.8</v>
      </c>
      <c r="P90" s="5" t="n">
        <f aca="false">ROUND(H90*1.18/F90,2)</f>
        <v>368</v>
      </c>
      <c r="Q90" s="5" t="n">
        <f aca="false">ROUND(H90*0.8,2)</f>
        <v>498.98</v>
      </c>
      <c r="R90" s="5" t="n">
        <f aca="false">ROUND(Q90-J90,2)</f>
        <v>0</v>
      </c>
      <c r="S90" s="5" t="n">
        <f aca="false">ROUND(J90*9%,2)</f>
        <v>44.91</v>
      </c>
      <c r="T90" s="5" t="n">
        <f aca="false">ROUND(S90-L90,2)</f>
        <v>0</v>
      </c>
      <c r="U90" s="4" t="n">
        <v>3</v>
      </c>
      <c r="V90" s="4" t="s">
        <v>26</v>
      </c>
      <c r="W90" s="7"/>
      <c r="X90" s="5" t="n">
        <f aca="false">ROUND(J90/F90,2)</f>
        <v>249.49</v>
      </c>
    </row>
    <row r="91" customFormat="false" ht="15" hidden="false" customHeight="false" outlineLevel="0" collapsed="false">
      <c r="A91" s="3" t="n">
        <v>90</v>
      </c>
      <c r="B91" s="3" t="s">
        <v>211</v>
      </c>
      <c r="C91" s="3" t="s">
        <v>212</v>
      </c>
      <c r="D91" s="4" t="s">
        <v>34</v>
      </c>
      <c r="E91" s="5" t="n">
        <v>350</v>
      </c>
      <c r="F91" s="4" t="n">
        <v>10</v>
      </c>
      <c r="G91" s="5" t="n">
        <v>296.61</v>
      </c>
      <c r="H91" s="5" t="n">
        <v>2966.1</v>
      </c>
      <c r="I91" s="6" t="n">
        <v>0.2</v>
      </c>
      <c r="J91" s="5" t="n">
        <v>2372.88</v>
      </c>
      <c r="K91" s="6" t="n">
        <v>0.09</v>
      </c>
      <c r="L91" s="5" t="n">
        <v>213.56</v>
      </c>
      <c r="M91" s="6" t="n">
        <v>0.09</v>
      </c>
      <c r="N91" s="5" t="n">
        <v>213.56</v>
      </c>
      <c r="O91" s="5" t="n">
        <f aca="false">J91+L91+N91</f>
        <v>2800</v>
      </c>
      <c r="P91" s="5" t="n">
        <f aca="false">ROUND(H91*1.18/F91,2)</f>
        <v>350</v>
      </c>
      <c r="Q91" s="5" t="n">
        <f aca="false">ROUND(H91*0.8,2)</f>
        <v>2372.88</v>
      </c>
      <c r="R91" s="5" t="n">
        <f aca="false">ROUND(Q91-J91,2)</f>
        <v>0</v>
      </c>
      <c r="S91" s="5" t="n">
        <f aca="false">ROUND(J91*9%,2)</f>
        <v>213.56</v>
      </c>
      <c r="T91" s="5" t="n">
        <f aca="false">ROUND(S91-L91,2)</f>
        <v>0</v>
      </c>
      <c r="U91" s="4" t="n">
        <v>3</v>
      </c>
      <c r="V91" s="4" t="s">
        <v>26</v>
      </c>
      <c r="W91" s="7"/>
      <c r="X91" s="5" t="n">
        <f aca="false">ROUND(J91/F91,2)</f>
        <v>237.29</v>
      </c>
    </row>
    <row r="92" customFormat="false" ht="15" hidden="false" customHeight="false" outlineLevel="0" collapsed="false">
      <c r="A92" s="3" t="n">
        <v>91</v>
      </c>
      <c r="B92" s="3" t="s">
        <v>213</v>
      </c>
      <c r="C92" s="3" t="s">
        <v>214</v>
      </c>
      <c r="D92" s="4" t="s">
        <v>138</v>
      </c>
      <c r="E92" s="5" t="n">
        <v>110</v>
      </c>
      <c r="F92" s="4" t="n">
        <v>4</v>
      </c>
      <c r="G92" s="5" t="n">
        <v>93.22</v>
      </c>
      <c r="H92" s="5" t="n">
        <v>372.88</v>
      </c>
      <c r="I92" s="6" t="n">
        <v>0.2</v>
      </c>
      <c r="J92" s="5" t="n">
        <v>298.31</v>
      </c>
      <c r="K92" s="6" t="n">
        <v>0.09</v>
      </c>
      <c r="L92" s="5" t="n">
        <v>26.85</v>
      </c>
      <c r="M92" s="6" t="n">
        <v>0.09</v>
      </c>
      <c r="N92" s="5" t="n">
        <v>26.85</v>
      </c>
      <c r="O92" s="5" t="n">
        <f aca="false">J92+L92+N92</f>
        <v>352.01</v>
      </c>
      <c r="P92" s="5" t="n">
        <f aca="false">ROUND(H92*1.18/F92,2)</f>
        <v>110</v>
      </c>
      <c r="Q92" s="5" t="n">
        <f aca="false">ROUND(H92*0.8,2)</f>
        <v>298.3</v>
      </c>
      <c r="R92" s="5" t="n">
        <f aca="false">ROUND(Q92-J92,2)</f>
        <v>-0.01</v>
      </c>
      <c r="S92" s="5" t="n">
        <f aca="false">ROUND(J92*9%,2)</f>
        <v>26.85</v>
      </c>
      <c r="T92" s="5" t="n">
        <f aca="false">ROUND(S92-L92,2)</f>
        <v>0</v>
      </c>
      <c r="U92" s="4" t="n">
        <v>3</v>
      </c>
      <c r="V92" s="4" t="s">
        <v>26</v>
      </c>
      <c r="W92" s="7"/>
      <c r="X92" s="5" t="n">
        <f aca="false">ROUND(J92/F92,2)</f>
        <v>74.58</v>
      </c>
    </row>
    <row r="93" customFormat="false" ht="15" hidden="false" customHeight="false" outlineLevel="0" collapsed="false">
      <c r="A93" s="3" t="n">
        <v>92</v>
      </c>
      <c r="B93" s="3" t="s">
        <v>215</v>
      </c>
      <c r="C93" s="3" t="s">
        <v>216</v>
      </c>
      <c r="D93" s="4" t="s">
        <v>34</v>
      </c>
      <c r="E93" s="5" t="n">
        <v>85</v>
      </c>
      <c r="F93" s="4" t="n">
        <v>10</v>
      </c>
      <c r="G93" s="5" t="n">
        <v>72.03</v>
      </c>
      <c r="H93" s="5" t="n">
        <v>720.34</v>
      </c>
      <c r="I93" s="6" t="n">
        <v>0.2</v>
      </c>
      <c r="J93" s="5" t="n">
        <v>576.27</v>
      </c>
      <c r="K93" s="6" t="n">
        <v>0.09</v>
      </c>
      <c r="L93" s="5" t="n">
        <v>51.86</v>
      </c>
      <c r="M93" s="6" t="n">
        <v>0.09</v>
      </c>
      <c r="N93" s="5" t="n">
        <v>51.86</v>
      </c>
      <c r="O93" s="5" t="n">
        <f aca="false">J93+L93+N93</f>
        <v>679.99</v>
      </c>
      <c r="P93" s="5" t="n">
        <f aca="false">ROUND(H93*1.18/F93,2)</f>
        <v>85</v>
      </c>
      <c r="Q93" s="5" t="n">
        <f aca="false">ROUND(H93*0.8,2)</f>
        <v>576.27</v>
      </c>
      <c r="R93" s="5" t="n">
        <f aca="false">ROUND(Q93-J93,2)</f>
        <v>0</v>
      </c>
      <c r="S93" s="5" t="n">
        <f aca="false">ROUND(J93*9%,2)</f>
        <v>51.86</v>
      </c>
      <c r="T93" s="5" t="n">
        <f aca="false">ROUND(S93-L93,2)</f>
        <v>0</v>
      </c>
      <c r="U93" s="4" t="n">
        <v>3</v>
      </c>
      <c r="V93" s="4" t="s">
        <v>26</v>
      </c>
      <c r="W93" s="7"/>
      <c r="X93" s="5" t="n">
        <f aca="false">ROUND(J93/F93,2)</f>
        <v>57.63</v>
      </c>
    </row>
    <row r="94" customFormat="false" ht="15" hidden="false" customHeight="false" outlineLevel="0" collapsed="false">
      <c r="A94" s="3" t="n">
        <v>93</v>
      </c>
      <c r="B94" s="3" t="s">
        <v>217</v>
      </c>
      <c r="C94" s="3" t="s">
        <v>218</v>
      </c>
      <c r="D94" s="4" t="s">
        <v>34</v>
      </c>
      <c r="E94" s="5" t="n">
        <v>848</v>
      </c>
      <c r="F94" s="4" t="n">
        <v>2</v>
      </c>
      <c r="G94" s="5" t="n">
        <v>718.64</v>
      </c>
      <c r="H94" s="5" t="n">
        <v>1437.29</v>
      </c>
      <c r="I94" s="6" t="n">
        <v>0.2</v>
      </c>
      <c r="J94" s="5" t="n">
        <v>1149.83</v>
      </c>
      <c r="K94" s="6" t="n">
        <v>0.09</v>
      </c>
      <c r="L94" s="5" t="n">
        <v>103.48</v>
      </c>
      <c r="M94" s="6" t="n">
        <v>0.09</v>
      </c>
      <c r="N94" s="5" t="n">
        <v>103.48</v>
      </c>
      <c r="O94" s="5" t="n">
        <f aca="false">J94+L94+N94</f>
        <v>1356.79</v>
      </c>
      <c r="P94" s="5" t="n">
        <f aca="false">ROUND(H94*1.18/F94,2)</f>
        <v>848</v>
      </c>
      <c r="Q94" s="5" t="n">
        <f aca="false">ROUND(H94*0.8,2)</f>
        <v>1149.83</v>
      </c>
      <c r="R94" s="5" t="n">
        <f aca="false">ROUND(Q94-J94,2)</f>
        <v>0</v>
      </c>
      <c r="S94" s="5" t="n">
        <f aca="false">ROUND(J94*9%,2)</f>
        <v>103.48</v>
      </c>
      <c r="T94" s="5" t="n">
        <f aca="false">ROUND(S94-L94,2)</f>
        <v>0</v>
      </c>
      <c r="U94" s="4" t="n">
        <v>3</v>
      </c>
      <c r="V94" s="4" t="s">
        <v>26</v>
      </c>
      <c r="W94" s="7"/>
      <c r="X94" s="5" t="n">
        <f aca="false">ROUND(J94/F94,2)</f>
        <v>574.92</v>
      </c>
    </row>
    <row r="95" customFormat="false" ht="15" hidden="false" customHeight="false" outlineLevel="0" collapsed="false">
      <c r="A95" s="3" t="n">
        <v>94</v>
      </c>
      <c r="B95" s="3" t="s">
        <v>219</v>
      </c>
      <c r="C95" s="3" t="s">
        <v>220</v>
      </c>
      <c r="D95" s="4" t="s">
        <v>34</v>
      </c>
      <c r="E95" s="5" t="n">
        <v>350</v>
      </c>
      <c r="F95" s="4" t="n">
        <v>10</v>
      </c>
      <c r="G95" s="5" t="n">
        <v>296.61</v>
      </c>
      <c r="H95" s="5" t="n">
        <v>2966.1</v>
      </c>
      <c r="I95" s="6" t="n">
        <v>0.2</v>
      </c>
      <c r="J95" s="5" t="n">
        <v>2372.88</v>
      </c>
      <c r="K95" s="6" t="n">
        <v>0.09</v>
      </c>
      <c r="L95" s="5" t="n">
        <v>213.56</v>
      </c>
      <c r="M95" s="6" t="n">
        <v>0.09</v>
      </c>
      <c r="N95" s="5" t="n">
        <v>213.56</v>
      </c>
      <c r="O95" s="5" t="n">
        <f aca="false">J95+L95+N95</f>
        <v>2800</v>
      </c>
      <c r="P95" s="5" t="n">
        <f aca="false">ROUND(H95*1.18/F95,2)</f>
        <v>350</v>
      </c>
      <c r="Q95" s="5" t="n">
        <f aca="false">ROUND(H95*0.8,2)</f>
        <v>2372.88</v>
      </c>
      <c r="R95" s="5" t="n">
        <f aca="false">ROUND(Q95-J95,2)</f>
        <v>0</v>
      </c>
      <c r="S95" s="5" t="n">
        <f aca="false">ROUND(J95*9%,2)</f>
        <v>213.56</v>
      </c>
      <c r="T95" s="5" t="n">
        <f aca="false">ROUND(S95-L95,2)</f>
        <v>0</v>
      </c>
      <c r="U95" s="4" t="n">
        <v>3</v>
      </c>
      <c r="V95" s="4" t="s">
        <v>26</v>
      </c>
      <c r="W95" s="7"/>
      <c r="X95" s="5" t="n">
        <f aca="false">ROUND(J95/F95,2)</f>
        <v>237.29</v>
      </c>
    </row>
    <row r="96" customFormat="false" ht="15" hidden="false" customHeight="false" outlineLevel="0" collapsed="false">
      <c r="A96" s="3" t="n">
        <v>95</v>
      </c>
      <c r="B96" s="3" t="s">
        <v>221</v>
      </c>
      <c r="C96" s="3" t="s">
        <v>222</v>
      </c>
      <c r="D96" s="4" t="s">
        <v>34</v>
      </c>
      <c r="E96" s="5" t="n">
        <v>1239</v>
      </c>
      <c r="F96" s="4" t="n">
        <v>1</v>
      </c>
      <c r="G96" s="5" t="n">
        <v>1050</v>
      </c>
      <c r="H96" s="5" t="n">
        <v>1050</v>
      </c>
      <c r="I96" s="6" t="n">
        <v>0.2</v>
      </c>
      <c r="J96" s="5" t="n">
        <v>840</v>
      </c>
      <c r="K96" s="6" t="n">
        <v>0.09</v>
      </c>
      <c r="L96" s="5" t="n">
        <v>75.6</v>
      </c>
      <c r="M96" s="6" t="n">
        <v>0.09</v>
      </c>
      <c r="N96" s="5" t="n">
        <v>75.6</v>
      </c>
      <c r="O96" s="5" t="n">
        <f aca="false">J96+L96+N96</f>
        <v>991.2</v>
      </c>
      <c r="P96" s="5" t="n">
        <f aca="false">ROUND(H96*1.18/F96,2)</f>
        <v>1239</v>
      </c>
      <c r="Q96" s="5" t="n">
        <f aca="false">ROUND(H96*0.8,2)</f>
        <v>840</v>
      </c>
      <c r="R96" s="5" t="n">
        <f aca="false">ROUND(Q96-J96,2)</f>
        <v>0</v>
      </c>
      <c r="S96" s="5" t="n">
        <f aca="false">ROUND(J96*9%,2)</f>
        <v>75.6</v>
      </c>
      <c r="T96" s="5" t="n">
        <f aca="false">ROUND(S96-L96,2)</f>
        <v>0</v>
      </c>
      <c r="U96" s="4" t="n">
        <v>3</v>
      </c>
      <c r="V96" s="4" t="s">
        <v>26</v>
      </c>
      <c r="W96" s="7"/>
      <c r="X96" s="5" t="n">
        <f aca="false">ROUND(J96/F96,2)</f>
        <v>840</v>
      </c>
    </row>
    <row r="97" customFormat="false" ht="15" hidden="false" customHeight="false" outlineLevel="0" collapsed="false">
      <c r="A97" s="3" t="n">
        <v>96</v>
      </c>
      <c r="B97" s="3" t="s">
        <v>223</v>
      </c>
      <c r="C97" s="3" t="s">
        <v>224</v>
      </c>
      <c r="D97" s="4" t="s">
        <v>34</v>
      </c>
      <c r="E97" s="5" t="n">
        <v>1087</v>
      </c>
      <c r="F97" s="4" t="n">
        <v>5</v>
      </c>
      <c r="G97" s="5" t="n">
        <v>921.19</v>
      </c>
      <c r="H97" s="5" t="n">
        <v>4605.93</v>
      </c>
      <c r="I97" s="6" t="n">
        <v>0.2</v>
      </c>
      <c r="J97" s="5" t="n">
        <v>3684.75</v>
      </c>
      <c r="K97" s="6" t="n">
        <v>0.09</v>
      </c>
      <c r="L97" s="5" t="n">
        <v>331.63</v>
      </c>
      <c r="M97" s="6" t="n">
        <v>0.09</v>
      </c>
      <c r="N97" s="5" t="n">
        <v>331.63</v>
      </c>
      <c r="O97" s="5" t="n">
        <f aca="false">J97+L97+N97</f>
        <v>4348.01</v>
      </c>
      <c r="P97" s="5" t="n">
        <f aca="false">ROUND(H97*1.18/F97,2)</f>
        <v>1087</v>
      </c>
      <c r="Q97" s="5" t="n">
        <f aca="false">ROUND(H97*0.8,2)</f>
        <v>3684.74</v>
      </c>
      <c r="R97" s="5" t="n">
        <f aca="false">ROUND(Q97-J97,2)</f>
        <v>-0.01</v>
      </c>
      <c r="S97" s="5" t="n">
        <f aca="false">ROUND(J97*9%,2)</f>
        <v>331.63</v>
      </c>
      <c r="T97" s="5" t="n">
        <f aca="false">ROUND(S97-L97,2)</f>
        <v>0</v>
      </c>
      <c r="U97" s="4" t="n">
        <v>3</v>
      </c>
      <c r="V97" s="4" t="s">
        <v>26</v>
      </c>
      <c r="W97" s="7"/>
      <c r="X97" s="5" t="n">
        <f aca="false">ROUND(J97/F97,2)</f>
        <v>736.95</v>
      </c>
    </row>
    <row r="98" customFormat="false" ht="15" hidden="false" customHeight="false" outlineLevel="0" collapsed="false">
      <c r="A98" s="3" t="n">
        <v>97</v>
      </c>
      <c r="B98" s="3" t="s">
        <v>225</v>
      </c>
      <c r="C98" s="3" t="s">
        <v>226</v>
      </c>
      <c r="D98" s="4" t="s">
        <v>34</v>
      </c>
      <c r="E98" s="5" t="n">
        <v>986</v>
      </c>
      <c r="F98" s="4" t="n">
        <v>10</v>
      </c>
      <c r="G98" s="5" t="n">
        <v>835.59</v>
      </c>
      <c r="H98" s="5" t="n">
        <v>8355.93</v>
      </c>
      <c r="I98" s="6" t="n">
        <v>0.2</v>
      </c>
      <c r="J98" s="5" t="n">
        <v>6684.75</v>
      </c>
      <c r="K98" s="6" t="n">
        <v>0.09</v>
      </c>
      <c r="L98" s="5" t="n">
        <v>601.63</v>
      </c>
      <c r="M98" s="6" t="n">
        <v>0.09</v>
      </c>
      <c r="N98" s="5" t="n">
        <v>601.63</v>
      </c>
      <c r="O98" s="5" t="n">
        <f aca="false">J98+L98+N98</f>
        <v>7888.01</v>
      </c>
      <c r="P98" s="5" t="n">
        <f aca="false">ROUND(H98*1.18/F98,2)</f>
        <v>986</v>
      </c>
      <c r="Q98" s="5" t="n">
        <f aca="false">ROUND(H98*0.8,2)</f>
        <v>6684.74</v>
      </c>
      <c r="R98" s="5" t="n">
        <f aca="false">ROUND(Q98-J98,2)</f>
        <v>-0.01</v>
      </c>
      <c r="S98" s="5" t="n">
        <f aca="false">ROUND(J98*9%,2)</f>
        <v>601.63</v>
      </c>
      <c r="T98" s="5" t="n">
        <f aca="false">ROUND(S98-L98,2)</f>
        <v>0</v>
      </c>
      <c r="U98" s="4" t="n">
        <v>3</v>
      </c>
      <c r="V98" s="4" t="s">
        <v>26</v>
      </c>
      <c r="W98" s="7"/>
      <c r="X98" s="5" t="n">
        <f aca="false">ROUND(J98/F98,2)</f>
        <v>668.48</v>
      </c>
    </row>
    <row r="99" customFormat="false" ht="15" hidden="false" customHeight="false" outlineLevel="0" collapsed="false">
      <c r="A99" s="3" t="n">
        <v>98</v>
      </c>
      <c r="B99" s="3" t="s">
        <v>227</v>
      </c>
      <c r="C99" s="3" t="s">
        <v>228</v>
      </c>
      <c r="D99" s="4" t="s">
        <v>229</v>
      </c>
      <c r="E99" s="5" t="n">
        <v>41</v>
      </c>
      <c r="F99" s="4" t="n">
        <v>4</v>
      </c>
      <c r="G99" s="5" t="n">
        <v>34.75</v>
      </c>
      <c r="H99" s="5" t="n">
        <v>138.98</v>
      </c>
      <c r="I99" s="6" t="n">
        <v>0.2</v>
      </c>
      <c r="J99" s="5" t="n">
        <v>111.19</v>
      </c>
      <c r="K99" s="6" t="n">
        <v>0.09</v>
      </c>
      <c r="L99" s="5" t="n">
        <v>10.01</v>
      </c>
      <c r="M99" s="6" t="n">
        <v>0.09</v>
      </c>
      <c r="N99" s="5" t="n">
        <v>10.01</v>
      </c>
      <c r="O99" s="5" t="n">
        <f aca="false">J99+L99+N99</f>
        <v>131.21</v>
      </c>
      <c r="P99" s="5" t="n">
        <f aca="false">ROUND(H99*1.18/F99,2)</f>
        <v>41</v>
      </c>
      <c r="Q99" s="5" t="n">
        <f aca="false">ROUND(H99*0.8,2)</f>
        <v>111.18</v>
      </c>
      <c r="R99" s="5" t="n">
        <f aca="false">ROUND(Q99-J99,2)</f>
        <v>-0.01</v>
      </c>
      <c r="S99" s="5" t="n">
        <f aca="false">ROUND(J99*9%,2)</f>
        <v>10.01</v>
      </c>
      <c r="T99" s="5" t="n">
        <f aca="false">ROUND(S99-L99,2)</f>
        <v>0</v>
      </c>
      <c r="U99" s="4" t="n">
        <v>3</v>
      </c>
      <c r="V99" s="4" t="s">
        <v>26</v>
      </c>
      <c r="W99" s="7"/>
      <c r="X99" s="5" t="n">
        <f aca="false">ROUND(J99/F99,2)</f>
        <v>27.8</v>
      </c>
    </row>
    <row r="100" customFormat="false" ht="15" hidden="false" customHeight="false" outlineLevel="0" collapsed="false">
      <c r="A100" s="3" t="n">
        <v>99</v>
      </c>
      <c r="B100" s="3" t="s">
        <v>230</v>
      </c>
      <c r="C100" s="3" t="s">
        <v>231</v>
      </c>
      <c r="D100" s="4" t="s">
        <v>77</v>
      </c>
      <c r="E100" s="5" t="n">
        <v>45</v>
      </c>
      <c r="F100" s="4" t="n">
        <v>30</v>
      </c>
      <c r="G100" s="5" t="n">
        <v>38.14</v>
      </c>
      <c r="H100" s="5" t="n">
        <v>1144.07</v>
      </c>
      <c r="I100" s="6" t="n">
        <v>0.2</v>
      </c>
      <c r="J100" s="5" t="n">
        <v>915.25</v>
      </c>
      <c r="K100" s="6" t="n">
        <v>0.09</v>
      </c>
      <c r="L100" s="5" t="n">
        <v>82.37</v>
      </c>
      <c r="M100" s="6" t="n">
        <v>0.09</v>
      </c>
      <c r="N100" s="5" t="n">
        <v>82.37</v>
      </c>
      <c r="O100" s="5" t="n">
        <f aca="false">J100+L100+N100</f>
        <v>1079.99</v>
      </c>
      <c r="P100" s="5" t="n">
        <f aca="false">ROUND(H100*1.18/F100,2)</f>
        <v>45</v>
      </c>
      <c r="Q100" s="5" t="n">
        <f aca="false">ROUND(H100*0.8,2)</f>
        <v>915.26</v>
      </c>
      <c r="R100" s="5" t="n">
        <f aca="false">ROUND(Q100-J100,2)</f>
        <v>0.01</v>
      </c>
      <c r="S100" s="5" t="n">
        <f aca="false">ROUND(J100*9%,2)</f>
        <v>82.37</v>
      </c>
      <c r="T100" s="5" t="n">
        <f aca="false">ROUND(S100-L100,2)</f>
        <v>0</v>
      </c>
      <c r="U100" s="4" t="n">
        <v>3</v>
      </c>
      <c r="V100" s="4" t="s">
        <v>26</v>
      </c>
      <c r="W100" s="7"/>
      <c r="X100" s="5" t="n">
        <f aca="false">ROUND(J100/F100,2)</f>
        <v>30.51</v>
      </c>
    </row>
    <row r="101" customFormat="false" ht="15" hidden="false" customHeight="false" outlineLevel="0" collapsed="false">
      <c r="A101" s="3" t="n">
        <v>100</v>
      </c>
      <c r="B101" s="3" t="s">
        <v>232</v>
      </c>
      <c r="C101" s="3" t="s">
        <v>233</v>
      </c>
      <c r="D101" s="4" t="s">
        <v>77</v>
      </c>
      <c r="E101" s="5" t="n">
        <v>79</v>
      </c>
      <c r="F101" s="4" t="n">
        <v>2</v>
      </c>
      <c r="G101" s="5" t="n">
        <v>66.95</v>
      </c>
      <c r="H101" s="5" t="n">
        <v>133.9</v>
      </c>
      <c r="I101" s="6" t="n">
        <v>0.2</v>
      </c>
      <c r="J101" s="5" t="n">
        <v>107.12</v>
      </c>
      <c r="K101" s="6" t="n">
        <v>0.09</v>
      </c>
      <c r="L101" s="5" t="n">
        <v>9.64</v>
      </c>
      <c r="M101" s="6" t="n">
        <v>0.09</v>
      </c>
      <c r="N101" s="5" t="n">
        <v>9.64</v>
      </c>
      <c r="O101" s="5" t="n">
        <f aca="false">J101+L101+N101</f>
        <v>126.4</v>
      </c>
      <c r="P101" s="5" t="n">
        <f aca="false">ROUND(H101*1.18/F101,2)</f>
        <v>79</v>
      </c>
      <c r="Q101" s="5" t="n">
        <f aca="false">ROUND(H101*0.8,2)</f>
        <v>107.12</v>
      </c>
      <c r="R101" s="5" t="n">
        <f aca="false">ROUND(Q101-J101,2)</f>
        <v>0</v>
      </c>
      <c r="S101" s="5" t="n">
        <f aca="false">ROUND(J101*9%,2)</f>
        <v>9.64</v>
      </c>
      <c r="T101" s="5" t="n">
        <f aca="false">ROUND(S101-L101,2)</f>
        <v>0</v>
      </c>
      <c r="U101" s="4" t="n">
        <v>3</v>
      </c>
      <c r="V101" s="4" t="s">
        <v>26</v>
      </c>
      <c r="W101" s="7"/>
      <c r="X101" s="5" t="n">
        <f aca="false">ROUND(J101/F101,2)</f>
        <v>53.56</v>
      </c>
    </row>
    <row r="102" customFormat="false" ht="15" hidden="false" customHeight="false" outlineLevel="0" collapsed="false">
      <c r="A102" s="3" t="n">
        <v>101</v>
      </c>
      <c r="B102" s="3" t="s">
        <v>234</v>
      </c>
      <c r="C102" s="3" t="s">
        <v>235</v>
      </c>
      <c r="D102" s="4" t="s">
        <v>77</v>
      </c>
      <c r="E102" s="5" t="n">
        <v>70</v>
      </c>
      <c r="F102" s="4" t="n">
        <v>2</v>
      </c>
      <c r="G102" s="5" t="n">
        <v>59.32</v>
      </c>
      <c r="H102" s="5" t="n">
        <v>118.64</v>
      </c>
      <c r="I102" s="6" t="n">
        <v>0.2</v>
      </c>
      <c r="J102" s="5" t="n">
        <v>94.92</v>
      </c>
      <c r="K102" s="6" t="n">
        <v>0.09</v>
      </c>
      <c r="L102" s="5" t="n">
        <v>8.54</v>
      </c>
      <c r="M102" s="6" t="n">
        <v>0.09</v>
      </c>
      <c r="N102" s="5" t="n">
        <v>8.54</v>
      </c>
      <c r="O102" s="5" t="n">
        <f aca="false">J102+L102+N102</f>
        <v>112</v>
      </c>
      <c r="P102" s="5" t="n">
        <f aca="false">ROUND(H102*1.18/F102,2)</f>
        <v>70</v>
      </c>
      <c r="Q102" s="5" t="n">
        <f aca="false">ROUND(H102*0.8,2)</f>
        <v>94.91</v>
      </c>
      <c r="R102" s="5" t="n">
        <f aca="false">ROUND(Q102-J102,2)</f>
        <v>-0.01</v>
      </c>
      <c r="S102" s="5" t="n">
        <f aca="false">ROUND(J102*9%,2)</f>
        <v>8.54</v>
      </c>
      <c r="T102" s="5" t="n">
        <f aca="false">ROUND(S102-L102,2)</f>
        <v>0</v>
      </c>
      <c r="U102" s="4" t="n">
        <v>4</v>
      </c>
      <c r="V102" s="4" t="s">
        <v>26</v>
      </c>
      <c r="W102" s="7"/>
      <c r="X102" s="5" t="n">
        <f aca="false">ROUND(J102/F102,2)</f>
        <v>47.46</v>
      </c>
    </row>
    <row r="103" customFormat="false" ht="15" hidden="false" customHeight="false" outlineLevel="0" collapsed="false">
      <c r="A103" s="3" t="n">
        <v>102</v>
      </c>
      <c r="B103" s="3" t="s">
        <v>236</v>
      </c>
      <c r="C103" s="3" t="s">
        <v>237</v>
      </c>
      <c r="D103" s="4" t="s">
        <v>77</v>
      </c>
      <c r="E103" s="5" t="n">
        <v>42</v>
      </c>
      <c r="F103" s="4" t="n">
        <v>20</v>
      </c>
      <c r="G103" s="5" t="n">
        <v>35.59</v>
      </c>
      <c r="H103" s="5" t="n">
        <v>711.86</v>
      </c>
      <c r="I103" s="6" t="n">
        <v>0.2</v>
      </c>
      <c r="J103" s="5" t="n">
        <v>569.49</v>
      </c>
      <c r="K103" s="6" t="n">
        <v>0.09</v>
      </c>
      <c r="L103" s="5" t="n">
        <v>51.25</v>
      </c>
      <c r="M103" s="6" t="n">
        <v>0.09</v>
      </c>
      <c r="N103" s="5" t="n">
        <v>51.25</v>
      </c>
      <c r="O103" s="5" t="n">
        <f aca="false">J103+L103+N103</f>
        <v>671.99</v>
      </c>
      <c r="P103" s="5" t="n">
        <f aca="false">ROUND(H103*1.18/F103,2)</f>
        <v>42</v>
      </c>
      <c r="Q103" s="5" t="n">
        <f aca="false">ROUND(H103*0.8,2)</f>
        <v>569.49</v>
      </c>
      <c r="R103" s="5" t="n">
        <f aca="false">ROUND(Q103-J103,2)</f>
        <v>0</v>
      </c>
      <c r="S103" s="5" t="n">
        <f aca="false">ROUND(J103*9%,2)</f>
        <v>51.25</v>
      </c>
      <c r="T103" s="5" t="n">
        <f aca="false">ROUND(S103-L103,2)</f>
        <v>0</v>
      </c>
      <c r="U103" s="4" t="n">
        <v>4</v>
      </c>
      <c r="V103" s="4" t="s">
        <v>26</v>
      </c>
      <c r="W103" s="7"/>
      <c r="X103" s="5" t="n">
        <f aca="false">ROUND(J103/F103,2)</f>
        <v>28.47</v>
      </c>
    </row>
    <row r="104" customFormat="false" ht="15" hidden="false" customHeight="false" outlineLevel="0" collapsed="false">
      <c r="A104" s="3" t="n">
        <v>103</v>
      </c>
      <c r="B104" s="3" t="s">
        <v>238</v>
      </c>
      <c r="C104" s="3" t="s">
        <v>239</v>
      </c>
      <c r="D104" s="4" t="s">
        <v>34</v>
      </c>
      <c r="E104" s="5" t="n">
        <v>991</v>
      </c>
      <c r="F104" s="4" t="n">
        <v>2</v>
      </c>
      <c r="G104" s="5" t="n">
        <v>839.83</v>
      </c>
      <c r="H104" s="5" t="n">
        <v>1679.66</v>
      </c>
      <c r="I104" s="6" t="n">
        <v>0.2</v>
      </c>
      <c r="J104" s="5" t="n">
        <v>1343.73</v>
      </c>
      <c r="K104" s="6" t="n">
        <v>0.09</v>
      </c>
      <c r="L104" s="5" t="n">
        <v>120.94</v>
      </c>
      <c r="M104" s="6" t="n">
        <v>0.09</v>
      </c>
      <c r="N104" s="5" t="n">
        <v>120.94</v>
      </c>
      <c r="O104" s="5" t="n">
        <f aca="false">J104+L104+N104</f>
        <v>1585.61</v>
      </c>
      <c r="P104" s="5" t="n">
        <f aca="false">ROUND(H104*1.18/F104,2)</f>
        <v>991</v>
      </c>
      <c r="Q104" s="5" t="n">
        <f aca="false">ROUND(H104*0.8,2)</f>
        <v>1343.73</v>
      </c>
      <c r="R104" s="5" t="n">
        <f aca="false">ROUND(Q104-J104,2)</f>
        <v>0</v>
      </c>
      <c r="S104" s="5" t="n">
        <f aca="false">ROUND(J104*9%,2)</f>
        <v>120.94</v>
      </c>
      <c r="T104" s="5" t="n">
        <f aca="false">ROUND(S104-L104,2)</f>
        <v>0</v>
      </c>
      <c r="U104" s="4" t="n">
        <v>4</v>
      </c>
      <c r="V104" s="4" t="s">
        <v>26</v>
      </c>
      <c r="W104" s="7"/>
      <c r="X104" s="5" t="n">
        <f aca="false">ROUND(J104/F104,2)</f>
        <v>671.87</v>
      </c>
    </row>
    <row r="105" customFormat="false" ht="15" hidden="false" customHeight="false" outlineLevel="0" collapsed="false">
      <c r="A105" s="3" t="n">
        <v>104</v>
      </c>
      <c r="B105" s="3" t="s">
        <v>240</v>
      </c>
      <c r="C105" s="3" t="s">
        <v>241</v>
      </c>
      <c r="D105" s="4" t="s">
        <v>34</v>
      </c>
      <c r="E105" s="5" t="n">
        <v>940</v>
      </c>
      <c r="F105" s="4" t="n">
        <v>4</v>
      </c>
      <c r="G105" s="5" t="n">
        <v>796.61</v>
      </c>
      <c r="H105" s="5" t="n">
        <v>3186.44</v>
      </c>
      <c r="I105" s="6" t="n">
        <v>0.2</v>
      </c>
      <c r="J105" s="5" t="n">
        <v>2549.15</v>
      </c>
      <c r="K105" s="6" t="n">
        <v>0.09</v>
      </c>
      <c r="L105" s="5" t="n">
        <v>229.42</v>
      </c>
      <c r="M105" s="6" t="n">
        <v>0.09</v>
      </c>
      <c r="N105" s="5" t="n">
        <v>229.42</v>
      </c>
      <c r="O105" s="5" t="n">
        <f aca="false">J105+L105+N105</f>
        <v>3007.99</v>
      </c>
      <c r="P105" s="5" t="n">
        <f aca="false">ROUND(H105*1.18/F105,2)</f>
        <v>940</v>
      </c>
      <c r="Q105" s="5" t="n">
        <f aca="false">ROUND(H105*0.8,2)</f>
        <v>2549.15</v>
      </c>
      <c r="R105" s="5" t="n">
        <f aca="false">ROUND(Q105-J105,2)</f>
        <v>0</v>
      </c>
      <c r="S105" s="5" t="n">
        <f aca="false">ROUND(J105*9%,2)</f>
        <v>229.42</v>
      </c>
      <c r="T105" s="5" t="n">
        <f aca="false">ROUND(S105-L105,2)</f>
        <v>0</v>
      </c>
      <c r="U105" s="4" t="n">
        <v>4</v>
      </c>
      <c r="V105" s="4" t="s">
        <v>26</v>
      </c>
      <c r="W105" s="7"/>
      <c r="X105" s="5" t="n">
        <f aca="false">ROUND(J105/F105,2)</f>
        <v>637.29</v>
      </c>
    </row>
    <row r="106" customFormat="false" ht="15" hidden="false" customHeight="false" outlineLevel="0" collapsed="false">
      <c r="A106" s="3" t="n">
        <v>105</v>
      </c>
      <c r="B106" s="3" t="s">
        <v>242</v>
      </c>
      <c r="C106" s="3" t="s">
        <v>243</v>
      </c>
      <c r="D106" s="4" t="s">
        <v>34</v>
      </c>
      <c r="E106" s="5" t="n">
        <v>1175</v>
      </c>
      <c r="F106" s="4" t="n">
        <v>2</v>
      </c>
      <c r="G106" s="5" t="n">
        <v>995.76</v>
      </c>
      <c r="H106" s="5" t="n">
        <v>1991.53</v>
      </c>
      <c r="I106" s="6" t="n">
        <v>0.2</v>
      </c>
      <c r="J106" s="5" t="n">
        <v>1593.22</v>
      </c>
      <c r="K106" s="6" t="n">
        <v>0.09</v>
      </c>
      <c r="L106" s="5" t="n">
        <v>143.39</v>
      </c>
      <c r="M106" s="6" t="n">
        <v>0.09</v>
      </c>
      <c r="N106" s="5" t="n">
        <v>143.39</v>
      </c>
      <c r="O106" s="5" t="n">
        <f aca="false">J106+L106+N106</f>
        <v>1880</v>
      </c>
      <c r="P106" s="5" t="n">
        <f aca="false">ROUND(H106*1.18/F106,2)</f>
        <v>1175</v>
      </c>
      <c r="Q106" s="5" t="n">
        <f aca="false">ROUND(H106*0.8,2)</f>
        <v>1593.22</v>
      </c>
      <c r="R106" s="5" t="n">
        <f aca="false">ROUND(Q106-J106,2)</f>
        <v>0</v>
      </c>
      <c r="S106" s="5" t="n">
        <f aca="false">ROUND(J106*9%,2)</f>
        <v>143.39</v>
      </c>
      <c r="T106" s="5" t="n">
        <f aca="false">ROUND(S106-L106,2)</f>
        <v>0</v>
      </c>
      <c r="U106" s="4" t="n">
        <v>4</v>
      </c>
      <c r="V106" s="4" t="s">
        <v>26</v>
      </c>
      <c r="W106" s="7"/>
      <c r="X106" s="5" t="n">
        <f aca="false">ROUND(J106/F106,2)</f>
        <v>796.61</v>
      </c>
    </row>
    <row r="107" customFormat="false" ht="15" hidden="false" customHeight="false" outlineLevel="0" collapsed="false">
      <c r="A107" s="3" t="n">
        <v>106</v>
      </c>
      <c r="B107" s="3" t="s">
        <v>244</v>
      </c>
      <c r="C107" s="3" t="s">
        <v>245</v>
      </c>
      <c r="D107" s="4" t="s">
        <v>34</v>
      </c>
      <c r="E107" s="5" t="n">
        <v>921</v>
      </c>
      <c r="F107" s="4" t="n">
        <v>10</v>
      </c>
      <c r="G107" s="5" t="n">
        <v>780.51</v>
      </c>
      <c r="H107" s="5" t="n">
        <v>7805.08</v>
      </c>
      <c r="I107" s="6" t="n">
        <v>0.2</v>
      </c>
      <c r="J107" s="5" t="n">
        <v>6244.07</v>
      </c>
      <c r="K107" s="6" t="n">
        <v>0.09</v>
      </c>
      <c r="L107" s="5" t="n">
        <v>561.97</v>
      </c>
      <c r="M107" s="6" t="n">
        <v>0.09</v>
      </c>
      <c r="N107" s="5" t="n">
        <v>561.97</v>
      </c>
      <c r="O107" s="5" t="n">
        <f aca="false">J107+L107+N107</f>
        <v>7368.01</v>
      </c>
      <c r="P107" s="5" t="n">
        <f aca="false">ROUND(H107*1.18/F107,2)</f>
        <v>921</v>
      </c>
      <c r="Q107" s="5" t="n">
        <f aca="false">ROUND(H107*0.8,2)</f>
        <v>6244.06</v>
      </c>
      <c r="R107" s="5" t="n">
        <f aca="false">ROUND(Q107-J107,2)</f>
        <v>-0.01</v>
      </c>
      <c r="S107" s="5" t="n">
        <f aca="false">ROUND(J107*9%,2)</f>
        <v>561.97</v>
      </c>
      <c r="T107" s="5" t="n">
        <f aca="false">ROUND(S107-L107,2)</f>
        <v>0</v>
      </c>
      <c r="U107" s="4" t="n">
        <v>4</v>
      </c>
      <c r="V107" s="4" t="s">
        <v>26</v>
      </c>
      <c r="W107" s="7"/>
      <c r="X107" s="5" t="n">
        <f aca="false">ROUND(J107/F107,2)</f>
        <v>624.41</v>
      </c>
    </row>
    <row r="108" customFormat="false" ht="15" hidden="false" customHeight="false" outlineLevel="0" collapsed="false">
      <c r="A108" s="3" t="n">
        <v>107</v>
      </c>
      <c r="B108" s="3" t="s">
        <v>246</v>
      </c>
      <c r="C108" s="3" t="s">
        <v>247</v>
      </c>
      <c r="D108" s="4" t="s">
        <v>34</v>
      </c>
      <c r="E108" s="5" t="n">
        <v>848</v>
      </c>
      <c r="F108" s="4" t="n">
        <v>3</v>
      </c>
      <c r="G108" s="5" t="n">
        <v>718.64</v>
      </c>
      <c r="H108" s="5" t="n">
        <v>2155.93</v>
      </c>
      <c r="I108" s="6" t="n">
        <v>0.2</v>
      </c>
      <c r="J108" s="5" t="n">
        <v>1724.75</v>
      </c>
      <c r="K108" s="6" t="n">
        <v>0.09</v>
      </c>
      <c r="L108" s="5" t="n">
        <v>155.23</v>
      </c>
      <c r="M108" s="6" t="n">
        <v>0.09</v>
      </c>
      <c r="N108" s="5" t="n">
        <v>155.23</v>
      </c>
      <c r="O108" s="5" t="n">
        <f aca="false">J108+L108+N108</f>
        <v>2035.21</v>
      </c>
      <c r="P108" s="5" t="n">
        <f aca="false">ROUND(H108*1.18/F108,2)</f>
        <v>848</v>
      </c>
      <c r="Q108" s="5" t="n">
        <f aca="false">ROUND(H108*0.8,2)</f>
        <v>1724.74</v>
      </c>
      <c r="R108" s="5" t="n">
        <f aca="false">ROUND(Q108-J108,2)</f>
        <v>-0.01</v>
      </c>
      <c r="S108" s="5" t="n">
        <f aca="false">ROUND(J108*9%,2)</f>
        <v>155.23</v>
      </c>
      <c r="T108" s="5" t="n">
        <f aca="false">ROUND(S108-L108,2)</f>
        <v>0</v>
      </c>
      <c r="U108" s="4" t="n">
        <v>4</v>
      </c>
      <c r="V108" s="4" t="s">
        <v>26</v>
      </c>
      <c r="W108" s="7"/>
      <c r="X108" s="5" t="n">
        <f aca="false">ROUND(J108/F108,2)</f>
        <v>574.92</v>
      </c>
    </row>
    <row r="109" customFormat="false" ht="15" hidden="false" customHeight="false" outlineLevel="0" collapsed="false">
      <c r="A109" s="3" t="n">
        <v>108</v>
      </c>
      <c r="B109" s="3" t="s">
        <v>248</v>
      </c>
      <c r="C109" s="3" t="s">
        <v>249</v>
      </c>
      <c r="D109" s="4" t="s">
        <v>34</v>
      </c>
      <c r="E109" s="5" t="n">
        <v>442</v>
      </c>
      <c r="F109" s="4" t="n">
        <v>3</v>
      </c>
      <c r="G109" s="5" t="n">
        <v>374.58</v>
      </c>
      <c r="H109" s="5" t="n">
        <v>1123.73</v>
      </c>
      <c r="I109" s="6" t="n">
        <v>0.2</v>
      </c>
      <c r="J109" s="5" t="n">
        <v>898.98</v>
      </c>
      <c r="K109" s="6" t="n">
        <v>0.09</v>
      </c>
      <c r="L109" s="5" t="n">
        <v>80.91</v>
      </c>
      <c r="M109" s="6" t="n">
        <v>0.09</v>
      </c>
      <c r="N109" s="5" t="n">
        <v>80.91</v>
      </c>
      <c r="O109" s="5" t="n">
        <f aca="false">J109+L109+N109</f>
        <v>1060.8</v>
      </c>
      <c r="P109" s="5" t="n">
        <f aca="false">ROUND(H109*1.18/F109,2)</f>
        <v>442</v>
      </c>
      <c r="Q109" s="5" t="n">
        <f aca="false">ROUND(H109*0.8,2)</f>
        <v>898.98</v>
      </c>
      <c r="R109" s="5" t="n">
        <f aca="false">ROUND(Q109-J109,2)</f>
        <v>0</v>
      </c>
      <c r="S109" s="5" t="n">
        <f aca="false">ROUND(J109*9%,2)</f>
        <v>80.91</v>
      </c>
      <c r="T109" s="5" t="n">
        <f aca="false">ROUND(S109-L109,2)</f>
        <v>0</v>
      </c>
      <c r="U109" s="4" t="n">
        <v>4</v>
      </c>
      <c r="V109" s="4" t="s">
        <v>26</v>
      </c>
      <c r="W109" s="7"/>
      <c r="X109" s="5" t="n">
        <f aca="false">ROUND(J109/F109,2)</f>
        <v>299.66</v>
      </c>
    </row>
    <row r="110" customFormat="false" ht="15" hidden="false" customHeight="false" outlineLevel="0" collapsed="false">
      <c r="A110" s="3" t="n">
        <v>109</v>
      </c>
      <c r="B110" s="3" t="s">
        <v>250</v>
      </c>
      <c r="C110" s="3" t="s">
        <v>251</v>
      </c>
      <c r="D110" s="4" t="s">
        <v>34</v>
      </c>
      <c r="E110" s="5" t="n">
        <v>451</v>
      </c>
      <c r="F110" s="4" t="n">
        <v>1</v>
      </c>
      <c r="G110" s="5" t="n">
        <v>382.2</v>
      </c>
      <c r="H110" s="5" t="n">
        <v>382.2</v>
      </c>
      <c r="I110" s="6" t="n">
        <v>0.2</v>
      </c>
      <c r="J110" s="5" t="n">
        <v>305.76</v>
      </c>
      <c r="K110" s="6" t="n">
        <v>0.09</v>
      </c>
      <c r="L110" s="5" t="n">
        <v>27.52</v>
      </c>
      <c r="M110" s="6" t="n">
        <v>0.09</v>
      </c>
      <c r="N110" s="5" t="n">
        <v>27.52</v>
      </c>
      <c r="O110" s="5" t="n">
        <f aca="false">J110+L110+N110</f>
        <v>360.8</v>
      </c>
      <c r="P110" s="5" t="n">
        <f aca="false">ROUND(H110*1.18/F110,2)</f>
        <v>451</v>
      </c>
      <c r="Q110" s="5" t="n">
        <f aca="false">ROUND(H110*0.8,2)</f>
        <v>305.76</v>
      </c>
      <c r="R110" s="5" t="n">
        <f aca="false">ROUND(Q110-J110,2)</f>
        <v>0</v>
      </c>
      <c r="S110" s="5" t="n">
        <f aca="false">ROUND(J110*9%,2)</f>
        <v>27.52</v>
      </c>
      <c r="T110" s="5" t="n">
        <f aca="false">ROUND(S110-L110,2)</f>
        <v>0</v>
      </c>
      <c r="U110" s="4" t="n">
        <v>4</v>
      </c>
      <c r="V110" s="4" t="s">
        <v>26</v>
      </c>
      <c r="W110" s="7"/>
      <c r="X110" s="5" t="n">
        <f aca="false">ROUND(J110/F110,2)</f>
        <v>305.76</v>
      </c>
    </row>
    <row r="111" customFormat="false" ht="15" hidden="false" customHeight="false" outlineLevel="0" collapsed="false">
      <c r="A111" s="3" t="n">
        <v>110</v>
      </c>
      <c r="B111" s="3" t="s">
        <v>252</v>
      </c>
      <c r="C111" s="3" t="s">
        <v>253</v>
      </c>
      <c r="D111" s="4" t="s">
        <v>34</v>
      </c>
      <c r="E111" s="5" t="n">
        <v>451</v>
      </c>
      <c r="F111" s="4" t="n">
        <v>5</v>
      </c>
      <c r="G111" s="5" t="n">
        <v>382.2</v>
      </c>
      <c r="H111" s="5" t="n">
        <v>1911.02</v>
      </c>
      <c r="I111" s="6" t="n">
        <v>0.2</v>
      </c>
      <c r="J111" s="5" t="n">
        <v>1528.81</v>
      </c>
      <c r="K111" s="6" t="n">
        <v>0.09</v>
      </c>
      <c r="L111" s="5" t="n">
        <v>137.59</v>
      </c>
      <c r="M111" s="6" t="n">
        <v>0.09</v>
      </c>
      <c r="N111" s="5" t="n">
        <v>137.59</v>
      </c>
      <c r="O111" s="5" t="n">
        <f aca="false">J111+L111+N111</f>
        <v>1803.99</v>
      </c>
      <c r="P111" s="5" t="n">
        <f aca="false">ROUND(H111*1.18/F111,2)</f>
        <v>451</v>
      </c>
      <c r="Q111" s="5" t="n">
        <f aca="false">ROUND(H111*0.8,2)</f>
        <v>1528.82</v>
      </c>
      <c r="R111" s="5" t="n">
        <f aca="false">ROUND(Q111-J111,2)</f>
        <v>0.01</v>
      </c>
      <c r="S111" s="5" t="n">
        <f aca="false">ROUND(J111*9%,2)</f>
        <v>137.59</v>
      </c>
      <c r="T111" s="5" t="n">
        <f aca="false">ROUND(S111-L111,2)</f>
        <v>0</v>
      </c>
      <c r="U111" s="4" t="n">
        <v>4</v>
      </c>
      <c r="V111" s="4" t="s">
        <v>26</v>
      </c>
      <c r="W111" s="7"/>
      <c r="X111" s="5" t="n">
        <f aca="false">ROUND(J111/F111,2)</f>
        <v>305.76</v>
      </c>
    </row>
    <row r="112" customFormat="false" ht="15" hidden="false" customHeight="false" outlineLevel="0" collapsed="false">
      <c r="A112" s="3" t="n">
        <v>111</v>
      </c>
      <c r="B112" s="3" t="s">
        <v>254</v>
      </c>
      <c r="C112" s="3" t="s">
        <v>255</v>
      </c>
      <c r="D112" s="4" t="s">
        <v>34</v>
      </c>
      <c r="E112" s="5" t="n">
        <v>66</v>
      </c>
      <c r="F112" s="4" t="n">
        <v>5</v>
      </c>
      <c r="G112" s="5" t="n">
        <v>55.93</v>
      </c>
      <c r="H112" s="5" t="n">
        <v>279.66</v>
      </c>
      <c r="I112" s="6" t="n">
        <v>0.2</v>
      </c>
      <c r="J112" s="5" t="n">
        <v>223.73</v>
      </c>
      <c r="K112" s="6" t="n">
        <v>0.09</v>
      </c>
      <c r="L112" s="5" t="n">
        <v>20.14</v>
      </c>
      <c r="M112" s="6" t="n">
        <v>0.09</v>
      </c>
      <c r="N112" s="5" t="n">
        <v>20.14</v>
      </c>
      <c r="O112" s="5" t="n">
        <f aca="false">J112+L112+N112</f>
        <v>264.01</v>
      </c>
      <c r="P112" s="5" t="n">
        <f aca="false">ROUND(H112*1.18/F112,2)</f>
        <v>66</v>
      </c>
      <c r="Q112" s="5" t="n">
        <f aca="false">ROUND(H112*0.8,2)</f>
        <v>223.73</v>
      </c>
      <c r="R112" s="5" t="n">
        <f aca="false">ROUND(Q112-J112,2)</f>
        <v>0</v>
      </c>
      <c r="S112" s="5" t="n">
        <f aca="false">ROUND(J112*9%,2)</f>
        <v>20.14</v>
      </c>
      <c r="T112" s="5" t="n">
        <f aca="false">ROUND(S112-L112,2)</f>
        <v>0</v>
      </c>
      <c r="U112" s="4" t="n">
        <v>4</v>
      </c>
      <c r="V112" s="4" t="s">
        <v>26</v>
      </c>
      <c r="W112" s="7"/>
      <c r="X112" s="5" t="n">
        <f aca="false">ROUND(J112/F112,2)</f>
        <v>44.75</v>
      </c>
    </row>
    <row r="113" customFormat="false" ht="15" hidden="false" customHeight="false" outlineLevel="0" collapsed="false">
      <c r="A113" s="3" t="n">
        <v>112</v>
      </c>
      <c r="B113" s="3" t="s">
        <v>256</v>
      </c>
      <c r="C113" s="3" t="s">
        <v>257</v>
      </c>
      <c r="D113" s="4" t="s">
        <v>34</v>
      </c>
      <c r="E113" s="5" t="n">
        <v>64</v>
      </c>
      <c r="F113" s="4" t="n">
        <v>10</v>
      </c>
      <c r="G113" s="5" t="n">
        <v>54.24</v>
      </c>
      <c r="H113" s="5" t="n">
        <v>542.37</v>
      </c>
      <c r="I113" s="6" t="n">
        <v>0.2</v>
      </c>
      <c r="J113" s="5" t="n">
        <v>433.9</v>
      </c>
      <c r="K113" s="6" t="n">
        <v>0.09</v>
      </c>
      <c r="L113" s="5" t="n">
        <v>39.05</v>
      </c>
      <c r="M113" s="6" t="n">
        <v>0.09</v>
      </c>
      <c r="N113" s="5" t="n">
        <v>39.05</v>
      </c>
      <c r="O113" s="5" t="n">
        <f aca="false">J113+L113+N113</f>
        <v>512</v>
      </c>
      <c r="P113" s="5" t="n">
        <f aca="false">ROUND(H113*1.18/F113,2)</f>
        <v>64</v>
      </c>
      <c r="Q113" s="5" t="n">
        <f aca="false">ROUND(H113*0.8,2)</f>
        <v>433.9</v>
      </c>
      <c r="R113" s="5" t="n">
        <f aca="false">ROUND(Q113-J113,2)</f>
        <v>0</v>
      </c>
      <c r="S113" s="5" t="n">
        <f aca="false">ROUND(J113*9%,2)</f>
        <v>39.05</v>
      </c>
      <c r="T113" s="5" t="n">
        <f aca="false">ROUND(S113-L113,2)</f>
        <v>0</v>
      </c>
      <c r="U113" s="4" t="n">
        <v>4</v>
      </c>
      <c r="V113" s="4" t="s">
        <v>26</v>
      </c>
      <c r="W113" s="7"/>
      <c r="X113" s="5" t="n">
        <f aca="false">ROUND(J113/F113,2)</f>
        <v>43.39</v>
      </c>
    </row>
    <row r="114" customFormat="false" ht="15" hidden="false" customHeight="false" outlineLevel="0" collapsed="false">
      <c r="A114" s="3" t="n">
        <v>113</v>
      </c>
      <c r="B114" s="3" t="s">
        <v>258</v>
      </c>
      <c r="C114" s="3" t="s">
        <v>259</v>
      </c>
      <c r="D114" s="4" t="s">
        <v>34</v>
      </c>
      <c r="E114" s="5" t="n">
        <v>51</v>
      </c>
      <c r="F114" s="4" t="n">
        <v>10</v>
      </c>
      <c r="G114" s="5" t="n">
        <v>43.22</v>
      </c>
      <c r="H114" s="5" t="n">
        <v>432.2</v>
      </c>
      <c r="I114" s="6" t="n">
        <v>0.2</v>
      </c>
      <c r="J114" s="5" t="n">
        <v>345.76</v>
      </c>
      <c r="K114" s="6" t="n">
        <v>0.09</v>
      </c>
      <c r="L114" s="5" t="n">
        <v>31.12</v>
      </c>
      <c r="M114" s="6" t="n">
        <v>0.09</v>
      </c>
      <c r="N114" s="5" t="n">
        <v>31.12</v>
      </c>
      <c r="O114" s="5" t="n">
        <f aca="false">J114+L114+N114</f>
        <v>408</v>
      </c>
      <c r="P114" s="5" t="n">
        <f aca="false">ROUND(H114*1.18/F114,2)</f>
        <v>51</v>
      </c>
      <c r="Q114" s="5" t="n">
        <f aca="false">ROUND(H114*0.8,2)</f>
        <v>345.76</v>
      </c>
      <c r="R114" s="5" t="n">
        <f aca="false">ROUND(Q114-J114,2)</f>
        <v>0</v>
      </c>
      <c r="S114" s="5" t="n">
        <f aca="false">ROUND(J114*9%,2)</f>
        <v>31.12</v>
      </c>
      <c r="T114" s="5" t="n">
        <f aca="false">ROUND(S114-L114,2)</f>
        <v>0</v>
      </c>
      <c r="U114" s="4" t="n">
        <v>4</v>
      </c>
      <c r="V114" s="4" t="s">
        <v>26</v>
      </c>
      <c r="W114" s="7"/>
      <c r="X114" s="5" t="n">
        <f aca="false">ROUND(J114/F114,2)</f>
        <v>34.58</v>
      </c>
    </row>
    <row r="115" customFormat="false" ht="15" hidden="false" customHeight="false" outlineLevel="0" collapsed="false">
      <c r="A115" s="3" t="n">
        <v>114</v>
      </c>
      <c r="B115" s="3" t="s">
        <v>260</v>
      </c>
      <c r="C115" s="3" t="s">
        <v>261</v>
      </c>
      <c r="D115" s="4" t="s">
        <v>34</v>
      </c>
      <c r="E115" s="5" t="n">
        <v>66</v>
      </c>
      <c r="F115" s="4" t="n">
        <v>3</v>
      </c>
      <c r="G115" s="5" t="n">
        <v>55.93</v>
      </c>
      <c r="H115" s="5" t="n">
        <v>167.8</v>
      </c>
      <c r="I115" s="6" t="n">
        <v>0.2</v>
      </c>
      <c r="J115" s="5" t="n">
        <v>134.24</v>
      </c>
      <c r="K115" s="6" t="n">
        <v>0.09</v>
      </c>
      <c r="L115" s="5" t="n">
        <v>12.08</v>
      </c>
      <c r="M115" s="6" t="n">
        <v>0.09</v>
      </c>
      <c r="N115" s="5" t="n">
        <v>12.08</v>
      </c>
      <c r="O115" s="5" t="n">
        <f aca="false">J115+L115+N115</f>
        <v>158.4</v>
      </c>
      <c r="P115" s="5" t="n">
        <f aca="false">ROUND(H115*1.18/F115,2)</f>
        <v>66</v>
      </c>
      <c r="Q115" s="5" t="n">
        <f aca="false">ROUND(H115*0.8,2)</f>
        <v>134.24</v>
      </c>
      <c r="R115" s="5" t="n">
        <f aca="false">ROUND(Q115-J115,2)</f>
        <v>0</v>
      </c>
      <c r="S115" s="5" t="n">
        <f aca="false">ROUND(J115*9%,2)</f>
        <v>12.08</v>
      </c>
      <c r="T115" s="5" t="n">
        <f aca="false">ROUND(S115-L115,2)</f>
        <v>0</v>
      </c>
      <c r="U115" s="4" t="n">
        <v>4</v>
      </c>
      <c r="V115" s="4" t="s">
        <v>26</v>
      </c>
      <c r="W115" s="7"/>
      <c r="X115" s="5" t="n">
        <f aca="false">ROUND(J115/F115,2)</f>
        <v>44.75</v>
      </c>
    </row>
    <row r="116" customFormat="false" ht="15" hidden="false" customHeight="false" outlineLevel="0" collapsed="false">
      <c r="A116" s="3" t="n">
        <v>115</v>
      </c>
      <c r="B116" s="3" t="s">
        <v>262</v>
      </c>
      <c r="C116" s="3" t="s">
        <v>263</v>
      </c>
      <c r="D116" s="4" t="s">
        <v>34</v>
      </c>
      <c r="E116" s="5" t="n">
        <v>76</v>
      </c>
      <c r="F116" s="4" t="n">
        <v>10</v>
      </c>
      <c r="G116" s="5" t="n">
        <v>64.41</v>
      </c>
      <c r="H116" s="5" t="n">
        <v>644.07</v>
      </c>
      <c r="I116" s="6" t="n">
        <v>0.2</v>
      </c>
      <c r="J116" s="5" t="n">
        <v>515.25</v>
      </c>
      <c r="K116" s="6" t="n">
        <v>0.09</v>
      </c>
      <c r="L116" s="5" t="n">
        <v>46.37</v>
      </c>
      <c r="M116" s="6" t="n">
        <v>0.09</v>
      </c>
      <c r="N116" s="5" t="n">
        <v>46.37</v>
      </c>
      <c r="O116" s="5" t="n">
        <f aca="false">J116+L116+N116</f>
        <v>607.99</v>
      </c>
      <c r="P116" s="5" t="n">
        <f aca="false">ROUND(H116*1.18/F116,2)</f>
        <v>76</v>
      </c>
      <c r="Q116" s="5" t="n">
        <f aca="false">ROUND(H116*0.8,2)</f>
        <v>515.26</v>
      </c>
      <c r="R116" s="5" t="n">
        <f aca="false">ROUND(Q116-J116,2)</f>
        <v>0.01</v>
      </c>
      <c r="S116" s="5" t="n">
        <f aca="false">ROUND(J116*9%,2)</f>
        <v>46.37</v>
      </c>
      <c r="T116" s="5" t="n">
        <f aca="false">ROUND(S116-L116,2)</f>
        <v>0</v>
      </c>
      <c r="U116" s="4" t="n">
        <v>4</v>
      </c>
      <c r="V116" s="4" t="s">
        <v>26</v>
      </c>
      <c r="W116" s="7"/>
      <c r="X116" s="5" t="n">
        <f aca="false">ROUND(J116/F116,2)</f>
        <v>51.53</v>
      </c>
    </row>
    <row r="117" customFormat="false" ht="15" hidden="false" customHeight="false" outlineLevel="0" collapsed="false">
      <c r="A117" s="3" t="n">
        <v>116</v>
      </c>
      <c r="B117" s="3" t="s">
        <v>264</v>
      </c>
      <c r="C117" s="3" t="s">
        <v>265</v>
      </c>
      <c r="D117" s="4" t="s">
        <v>34</v>
      </c>
      <c r="E117" s="5" t="n">
        <v>78</v>
      </c>
      <c r="F117" s="4" t="n">
        <v>5</v>
      </c>
      <c r="G117" s="5" t="n">
        <v>66.1</v>
      </c>
      <c r="H117" s="5" t="n">
        <v>330.51</v>
      </c>
      <c r="I117" s="6" t="n">
        <v>0.2</v>
      </c>
      <c r="J117" s="5" t="n">
        <v>264.41</v>
      </c>
      <c r="K117" s="6" t="n">
        <v>0.09</v>
      </c>
      <c r="L117" s="5" t="n">
        <v>23.8</v>
      </c>
      <c r="M117" s="6" t="n">
        <v>0.09</v>
      </c>
      <c r="N117" s="5" t="n">
        <v>23.8</v>
      </c>
      <c r="O117" s="5" t="n">
        <f aca="false">J117+L117+N117</f>
        <v>312.01</v>
      </c>
      <c r="P117" s="5" t="n">
        <f aca="false">ROUND(H117*1.18/F117,2)</f>
        <v>78</v>
      </c>
      <c r="Q117" s="5" t="n">
        <f aca="false">ROUND(H117*0.8,2)</f>
        <v>264.41</v>
      </c>
      <c r="R117" s="5" t="n">
        <f aca="false">ROUND(Q117-J117,2)</f>
        <v>0</v>
      </c>
      <c r="S117" s="5" t="n">
        <f aca="false">ROUND(J117*9%,2)</f>
        <v>23.8</v>
      </c>
      <c r="T117" s="5" t="n">
        <f aca="false">ROUND(S117-L117,2)</f>
        <v>0</v>
      </c>
      <c r="U117" s="4" t="n">
        <v>4</v>
      </c>
      <c r="V117" s="4" t="s">
        <v>26</v>
      </c>
      <c r="W117" s="7"/>
      <c r="X117" s="5" t="n">
        <f aca="false">ROUND(J117/F117,2)</f>
        <v>52.88</v>
      </c>
    </row>
    <row r="118" customFormat="false" ht="15" hidden="false" customHeight="false" outlineLevel="0" collapsed="false">
      <c r="A118" s="3" t="n">
        <v>117</v>
      </c>
      <c r="B118" s="3" t="s">
        <v>266</v>
      </c>
      <c r="C118" s="3" t="s">
        <v>267</v>
      </c>
      <c r="D118" s="4" t="s">
        <v>34</v>
      </c>
      <c r="E118" s="5" t="n">
        <v>80</v>
      </c>
      <c r="F118" s="4" t="n">
        <v>5</v>
      </c>
      <c r="G118" s="5" t="n">
        <v>67.8</v>
      </c>
      <c r="H118" s="5" t="n">
        <v>338.98</v>
      </c>
      <c r="I118" s="6" t="n">
        <v>0.2</v>
      </c>
      <c r="J118" s="5" t="n">
        <v>271.19</v>
      </c>
      <c r="K118" s="6" t="n">
        <v>0.09</v>
      </c>
      <c r="L118" s="5" t="n">
        <v>24.41</v>
      </c>
      <c r="M118" s="6" t="n">
        <v>0.09</v>
      </c>
      <c r="N118" s="5" t="n">
        <v>24.41</v>
      </c>
      <c r="O118" s="5" t="n">
        <f aca="false">J118+L118+N118</f>
        <v>320.01</v>
      </c>
      <c r="P118" s="5" t="n">
        <f aca="false">ROUND(H118*1.18/F118,2)</f>
        <v>80</v>
      </c>
      <c r="Q118" s="5" t="n">
        <f aca="false">ROUND(H118*0.8,2)</f>
        <v>271.18</v>
      </c>
      <c r="R118" s="5" t="n">
        <f aca="false">ROUND(Q118-J118,2)</f>
        <v>-0.01</v>
      </c>
      <c r="S118" s="5" t="n">
        <f aca="false">ROUND(J118*9%,2)</f>
        <v>24.41</v>
      </c>
      <c r="T118" s="5" t="n">
        <f aca="false">ROUND(S118-L118,2)</f>
        <v>0</v>
      </c>
      <c r="U118" s="4" t="n">
        <v>4</v>
      </c>
      <c r="V118" s="4" t="s">
        <v>26</v>
      </c>
      <c r="W118" s="7"/>
      <c r="X118" s="5" t="n">
        <f aca="false">ROUND(J118/F118,2)</f>
        <v>54.24</v>
      </c>
    </row>
    <row r="119" customFormat="false" ht="15" hidden="false" customHeight="false" outlineLevel="0" collapsed="false">
      <c r="A119" s="3" t="n">
        <v>118</v>
      </c>
      <c r="B119" s="3" t="s">
        <v>268</v>
      </c>
      <c r="C119" s="3" t="s">
        <v>269</v>
      </c>
      <c r="D119" s="4" t="s">
        <v>34</v>
      </c>
      <c r="E119" s="5" t="n">
        <v>59</v>
      </c>
      <c r="F119" s="4" t="n">
        <v>10</v>
      </c>
      <c r="G119" s="5" t="n">
        <v>50</v>
      </c>
      <c r="H119" s="5" t="n">
        <v>500</v>
      </c>
      <c r="I119" s="6" t="n">
        <v>0.2</v>
      </c>
      <c r="J119" s="5" t="n">
        <v>400</v>
      </c>
      <c r="K119" s="6" t="n">
        <v>0.09</v>
      </c>
      <c r="L119" s="5" t="n">
        <v>36</v>
      </c>
      <c r="M119" s="6" t="n">
        <v>0.09</v>
      </c>
      <c r="N119" s="5" t="n">
        <v>36</v>
      </c>
      <c r="O119" s="5" t="n">
        <f aca="false">J119+L119+N119</f>
        <v>472</v>
      </c>
      <c r="P119" s="5" t="n">
        <f aca="false">ROUND(H119*1.18/F119,2)</f>
        <v>59</v>
      </c>
      <c r="Q119" s="5" t="n">
        <f aca="false">ROUND(H119*0.8,2)</f>
        <v>400</v>
      </c>
      <c r="R119" s="5" t="n">
        <f aca="false">ROUND(Q119-J119,2)</f>
        <v>0</v>
      </c>
      <c r="S119" s="5" t="n">
        <f aca="false">ROUND(J119*9%,2)</f>
        <v>36</v>
      </c>
      <c r="T119" s="5" t="n">
        <f aca="false">ROUND(S119-L119,2)</f>
        <v>0</v>
      </c>
      <c r="U119" s="4" t="n">
        <v>4</v>
      </c>
      <c r="V119" s="4" t="s">
        <v>26</v>
      </c>
      <c r="W119" s="7"/>
      <c r="X119" s="5" t="n">
        <f aca="false">ROUND(J119/F119,2)</f>
        <v>40</v>
      </c>
    </row>
    <row r="120" customFormat="false" ht="15" hidden="false" customHeight="false" outlineLevel="0" collapsed="false">
      <c r="A120" s="3" t="n">
        <v>119</v>
      </c>
      <c r="B120" s="3" t="s">
        <v>270</v>
      </c>
      <c r="C120" s="3" t="s">
        <v>271</v>
      </c>
      <c r="D120" s="4" t="s">
        <v>34</v>
      </c>
      <c r="E120" s="5" t="n">
        <v>69</v>
      </c>
      <c r="F120" s="4" t="n">
        <v>3</v>
      </c>
      <c r="G120" s="5" t="n">
        <v>58.47</v>
      </c>
      <c r="H120" s="5" t="n">
        <v>175.42</v>
      </c>
      <c r="I120" s="6" t="n">
        <v>0.2</v>
      </c>
      <c r="J120" s="5" t="n">
        <v>140.34</v>
      </c>
      <c r="K120" s="6" t="n">
        <v>0.09</v>
      </c>
      <c r="L120" s="5" t="n">
        <v>12.63</v>
      </c>
      <c r="M120" s="6" t="n">
        <v>0.09</v>
      </c>
      <c r="N120" s="5" t="n">
        <v>12.63</v>
      </c>
      <c r="O120" s="5" t="n">
        <f aca="false">J120+L120+N120</f>
        <v>165.6</v>
      </c>
      <c r="P120" s="5" t="n">
        <f aca="false">ROUND(H120*1.18/F120,2)</f>
        <v>69</v>
      </c>
      <c r="Q120" s="5" t="n">
        <f aca="false">ROUND(H120*0.8,2)</f>
        <v>140.34</v>
      </c>
      <c r="R120" s="5" t="n">
        <f aca="false">ROUND(Q120-J120,2)</f>
        <v>0</v>
      </c>
      <c r="S120" s="5" t="n">
        <f aca="false">ROUND(J120*9%,2)</f>
        <v>12.63</v>
      </c>
      <c r="T120" s="5" t="n">
        <f aca="false">ROUND(S120-L120,2)</f>
        <v>0</v>
      </c>
      <c r="U120" s="4" t="n">
        <v>4</v>
      </c>
      <c r="V120" s="4" t="s">
        <v>26</v>
      </c>
      <c r="W120" s="7"/>
      <c r="X120" s="5" t="n">
        <f aca="false">ROUND(J120/F120,2)</f>
        <v>46.78</v>
      </c>
    </row>
    <row r="121" customFormat="false" ht="15" hidden="false" customHeight="false" outlineLevel="0" collapsed="false">
      <c r="A121" s="3" t="n">
        <v>120</v>
      </c>
      <c r="B121" s="3" t="s">
        <v>272</v>
      </c>
      <c r="C121" s="3" t="s">
        <v>273</v>
      </c>
      <c r="D121" s="4" t="s">
        <v>34</v>
      </c>
      <c r="E121" s="5" t="n">
        <v>76</v>
      </c>
      <c r="F121" s="4" t="n">
        <v>10</v>
      </c>
      <c r="G121" s="5" t="n">
        <v>64.41</v>
      </c>
      <c r="H121" s="5" t="n">
        <v>644.07</v>
      </c>
      <c r="I121" s="6" t="n">
        <v>0.2</v>
      </c>
      <c r="J121" s="5" t="n">
        <v>515.25</v>
      </c>
      <c r="K121" s="6" t="n">
        <v>0.09</v>
      </c>
      <c r="L121" s="5" t="n">
        <v>46.37</v>
      </c>
      <c r="M121" s="6" t="n">
        <v>0.09</v>
      </c>
      <c r="N121" s="5" t="n">
        <v>46.37</v>
      </c>
      <c r="O121" s="5" t="n">
        <f aca="false">J121+L121+N121</f>
        <v>607.99</v>
      </c>
      <c r="P121" s="5" t="n">
        <f aca="false">ROUND(H121*1.18/F121,2)</f>
        <v>76</v>
      </c>
      <c r="Q121" s="5" t="n">
        <f aca="false">ROUND(H121*0.8,2)</f>
        <v>515.26</v>
      </c>
      <c r="R121" s="5" t="n">
        <f aca="false">ROUND(Q121-J121,2)</f>
        <v>0.01</v>
      </c>
      <c r="S121" s="5" t="n">
        <f aca="false">ROUND(J121*9%,2)</f>
        <v>46.37</v>
      </c>
      <c r="T121" s="5" t="n">
        <f aca="false">ROUND(S121-L121,2)</f>
        <v>0</v>
      </c>
      <c r="U121" s="4" t="n">
        <v>4</v>
      </c>
      <c r="V121" s="4" t="s">
        <v>26</v>
      </c>
      <c r="W121" s="7"/>
      <c r="X121" s="5" t="n">
        <f aca="false">ROUND(J121/F121,2)</f>
        <v>51.53</v>
      </c>
    </row>
    <row r="122" customFormat="false" ht="15" hidden="false" customHeight="false" outlineLevel="0" collapsed="false">
      <c r="A122" s="3" t="n">
        <v>121</v>
      </c>
      <c r="B122" s="3" t="s">
        <v>274</v>
      </c>
      <c r="C122" s="3" t="s">
        <v>275</v>
      </c>
      <c r="D122" s="4" t="s">
        <v>34</v>
      </c>
      <c r="E122" s="5" t="n">
        <v>84</v>
      </c>
      <c r="F122" s="4" t="n">
        <v>5</v>
      </c>
      <c r="G122" s="5" t="n">
        <v>71.19</v>
      </c>
      <c r="H122" s="5" t="n">
        <v>355.93</v>
      </c>
      <c r="I122" s="6" t="n">
        <v>0.2</v>
      </c>
      <c r="J122" s="5" t="n">
        <v>284.75</v>
      </c>
      <c r="K122" s="6" t="n">
        <v>0.09</v>
      </c>
      <c r="L122" s="5" t="n">
        <v>25.63</v>
      </c>
      <c r="M122" s="6" t="n">
        <v>0.09</v>
      </c>
      <c r="N122" s="5" t="n">
        <v>25.63</v>
      </c>
      <c r="O122" s="5" t="n">
        <f aca="false">J122+L122+N122</f>
        <v>336.01</v>
      </c>
      <c r="P122" s="5" t="n">
        <f aca="false">ROUND(H122*1.18/F122,2)</f>
        <v>84</v>
      </c>
      <c r="Q122" s="5" t="n">
        <f aca="false">ROUND(H122*0.8,2)</f>
        <v>284.74</v>
      </c>
      <c r="R122" s="5" t="n">
        <f aca="false">ROUND(Q122-J122,2)</f>
        <v>-0.01</v>
      </c>
      <c r="S122" s="5" t="n">
        <f aca="false">ROUND(J122*9%,2)</f>
        <v>25.63</v>
      </c>
      <c r="T122" s="5" t="n">
        <f aca="false">ROUND(S122-L122,2)</f>
        <v>0</v>
      </c>
      <c r="U122" s="4" t="n">
        <v>4</v>
      </c>
      <c r="V122" s="4" t="s">
        <v>26</v>
      </c>
      <c r="W122" s="7"/>
      <c r="X122" s="5" t="n">
        <f aca="false">ROUND(J122/F122,2)</f>
        <v>56.95</v>
      </c>
    </row>
    <row r="123" customFormat="false" ht="15" hidden="false" customHeight="false" outlineLevel="0" collapsed="false">
      <c r="A123" s="3" t="n">
        <v>122</v>
      </c>
      <c r="B123" s="3" t="s">
        <v>276</v>
      </c>
      <c r="C123" s="3" t="s">
        <v>277</v>
      </c>
      <c r="D123" s="4" t="s">
        <v>34</v>
      </c>
      <c r="E123" s="5" t="n">
        <v>63</v>
      </c>
      <c r="F123" s="4" t="n">
        <v>10</v>
      </c>
      <c r="G123" s="5" t="n">
        <v>53.39</v>
      </c>
      <c r="H123" s="5" t="n">
        <v>533.9</v>
      </c>
      <c r="I123" s="6" t="n">
        <v>0.2</v>
      </c>
      <c r="J123" s="5" t="n">
        <v>427.12</v>
      </c>
      <c r="K123" s="6" t="n">
        <v>0.09</v>
      </c>
      <c r="L123" s="5" t="n">
        <v>38.44</v>
      </c>
      <c r="M123" s="6" t="n">
        <v>0.09</v>
      </c>
      <c r="N123" s="5" t="n">
        <v>38.44</v>
      </c>
      <c r="O123" s="5" t="n">
        <f aca="false">J123+L123+N123</f>
        <v>504</v>
      </c>
      <c r="P123" s="5" t="n">
        <f aca="false">ROUND(H123*1.18/F123,2)</f>
        <v>63</v>
      </c>
      <c r="Q123" s="5" t="n">
        <f aca="false">ROUND(H123*0.8,2)</f>
        <v>427.12</v>
      </c>
      <c r="R123" s="5" t="n">
        <f aca="false">ROUND(Q123-J123,2)</f>
        <v>0</v>
      </c>
      <c r="S123" s="5" t="n">
        <f aca="false">ROUND(J123*9%,2)</f>
        <v>38.44</v>
      </c>
      <c r="T123" s="5" t="n">
        <f aca="false">ROUND(S123-L123,2)</f>
        <v>0</v>
      </c>
      <c r="U123" s="4" t="n">
        <v>4</v>
      </c>
      <c r="V123" s="4" t="s">
        <v>26</v>
      </c>
      <c r="W123" s="7"/>
      <c r="X123" s="5" t="n">
        <f aca="false">ROUND(J123/F123,2)</f>
        <v>42.71</v>
      </c>
    </row>
    <row r="124" customFormat="false" ht="15" hidden="false" customHeight="false" outlineLevel="0" collapsed="false">
      <c r="A124" s="3" t="n">
        <v>123</v>
      </c>
      <c r="B124" s="3" t="s">
        <v>278</v>
      </c>
      <c r="C124" s="3" t="s">
        <v>279</v>
      </c>
      <c r="D124" s="4" t="s">
        <v>34</v>
      </c>
      <c r="E124" s="5" t="n">
        <v>147</v>
      </c>
      <c r="F124" s="4" t="n">
        <v>2</v>
      </c>
      <c r="G124" s="5" t="n">
        <v>124.58</v>
      </c>
      <c r="H124" s="5" t="n">
        <v>249.15</v>
      </c>
      <c r="I124" s="6" t="n">
        <v>0.2</v>
      </c>
      <c r="J124" s="5" t="n">
        <v>199.32</v>
      </c>
      <c r="K124" s="6" t="n">
        <v>0.09</v>
      </c>
      <c r="L124" s="5" t="n">
        <v>17.94</v>
      </c>
      <c r="M124" s="6" t="n">
        <v>0.09</v>
      </c>
      <c r="N124" s="5" t="n">
        <v>17.94</v>
      </c>
      <c r="O124" s="5" t="n">
        <f aca="false">J124+L124+N124</f>
        <v>235.2</v>
      </c>
      <c r="P124" s="5" t="n">
        <f aca="false">ROUND(H124*1.18/F124,2)</f>
        <v>147</v>
      </c>
      <c r="Q124" s="5" t="n">
        <f aca="false">ROUND(H124*0.8,2)</f>
        <v>199.32</v>
      </c>
      <c r="R124" s="5" t="n">
        <f aca="false">ROUND(Q124-J124,2)</f>
        <v>0</v>
      </c>
      <c r="S124" s="5" t="n">
        <f aca="false">ROUND(J124*9%,2)</f>
        <v>17.94</v>
      </c>
      <c r="T124" s="5" t="n">
        <f aca="false">ROUND(S124-L124,2)</f>
        <v>0</v>
      </c>
      <c r="U124" s="4" t="n">
        <v>4</v>
      </c>
      <c r="V124" s="4" t="s">
        <v>26</v>
      </c>
      <c r="W124" s="7"/>
      <c r="X124" s="5" t="n">
        <f aca="false">ROUND(J124/F124,2)</f>
        <v>99.66</v>
      </c>
    </row>
    <row r="125" customFormat="false" ht="15" hidden="false" customHeight="false" outlineLevel="0" collapsed="false">
      <c r="A125" s="3" t="n">
        <v>124</v>
      </c>
      <c r="B125" s="3" t="s">
        <v>280</v>
      </c>
      <c r="C125" s="3" t="s">
        <v>279</v>
      </c>
      <c r="D125" s="4" t="s">
        <v>34</v>
      </c>
      <c r="E125" s="5" t="n">
        <v>119</v>
      </c>
      <c r="F125" s="4" t="n">
        <v>3</v>
      </c>
      <c r="G125" s="5" t="n">
        <v>100.85</v>
      </c>
      <c r="H125" s="5" t="n">
        <v>302.54</v>
      </c>
      <c r="I125" s="6" t="n">
        <v>0.2</v>
      </c>
      <c r="J125" s="5" t="n">
        <v>242.03</v>
      </c>
      <c r="K125" s="6" t="n">
        <v>0.09</v>
      </c>
      <c r="L125" s="5" t="n">
        <v>21.78</v>
      </c>
      <c r="M125" s="6" t="n">
        <v>0.09</v>
      </c>
      <c r="N125" s="5" t="n">
        <v>21.78</v>
      </c>
      <c r="O125" s="5" t="n">
        <f aca="false">J125+L125+N125</f>
        <v>285.59</v>
      </c>
      <c r="P125" s="5" t="n">
        <f aca="false">ROUND(H125*1.18/F125,2)</f>
        <v>119</v>
      </c>
      <c r="Q125" s="5" t="n">
        <f aca="false">ROUND(H125*0.8,2)</f>
        <v>242.03</v>
      </c>
      <c r="R125" s="5" t="n">
        <f aca="false">ROUND(Q125-J125,2)</f>
        <v>0</v>
      </c>
      <c r="S125" s="5" t="n">
        <f aca="false">ROUND(J125*9%,2)</f>
        <v>21.78</v>
      </c>
      <c r="T125" s="5" t="n">
        <f aca="false">ROUND(S125-L125,2)</f>
        <v>0</v>
      </c>
      <c r="U125" s="4" t="n">
        <v>4</v>
      </c>
      <c r="V125" s="4" t="s">
        <v>26</v>
      </c>
      <c r="W125" s="7"/>
      <c r="X125" s="5" t="n">
        <f aca="false">ROUND(J125/F125,2)</f>
        <v>80.68</v>
      </c>
    </row>
    <row r="126" customFormat="false" ht="15" hidden="false" customHeight="false" outlineLevel="0" collapsed="false">
      <c r="A126" s="3" t="n">
        <v>125</v>
      </c>
      <c r="B126" s="3" t="s">
        <v>281</v>
      </c>
      <c r="C126" s="3" t="s">
        <v>282</v>
      </c>
      <c r="D126" s="4" t="s">
        <v>34</v>
      </c>
      <c r="E126" s="5" t="n">
        <v>16</v>
      </c>
      <c r="F126" s="4" t="n">
        <v>20</v>
      </c>
      <c r="G126" s="5" t="n">
        <v>13.14</v>
      </c>
      <c r="H126" s="5" t="n">
        <v>262.71</v>
      </c>
      <c r="I126" s="6" t="n">
        <v>0.2</v>
      </c>
      <c r="J126" s="5" t="n">
        <v>210.17</v>
      </c>
      <c r="K126" s="6" t="n">
        <v>0.09</v>
      </c>
      <c r="L126" s="5" t="n">
        <v>18.92</v>
      </c>
      <c r="M126" s="6" t="n">
        <v>0.09</v>
      </c>
      <c r="N126" s="5" t="n">
        <v>18.92</v>
      </c>
      <c r="O126" s="5" t="n">
        <f aca="false">J126+L126+N126</f>
        <v>248.01</v>
      </c>
      <c r="P126" s="5" t="n">
        <f aca="false">ROUND(H126*1.18/F126,2)</f>
        <v>15.5</v>
      </c>
      <c r="Q126" s="5" t="n">
        <f aca="false">ROUND(H126*0.8,2)</f>
        <v>210.17</v>
      </c>
      <c r="R126" s="5" t="n">
        <f aca="false">ROUND(Q126-J126,2)</f>
        <v>0</v>
      </c>
      <c r="S126" s="5" t="n">
        <f aca="false">ROUND(J126*9%,2)</f>
        <v>18.92</v>
      </c>
      <c r="T126" s="5" t="n">
        <f aca="false">ROUND(S126-L126,2)</f>
        <v>0</v>
      </c>
      <c r="U126" s="4" t="n">
        <v>4</v>
      </c>
      <c r="V126" s="4" t="s">
        <v>26</v>
      </c>
      <c r="W126" s="7"/>
      <c r="X126" s="5" t="n">
        <f aca="false">ROUND(J126/F126,2)</f>
        <v>10.51</v>
      </c>
    </row>
    <row r="127" customFormat="false" ht="15" hidden="false" customHeight="false" outlineLevel="0" collapsed="false">
      <c r="A127" s="3" t="n">
        <v>126</v>
      </c>
      <c r="B127" s="3" t="s">
        <v>283</v>
      </c>
      <c r="C127" s="3" t="s">
        <v>284</v>
      </c>
      <c r="D127" s="4" t="s">
        <v>34</v>
      </c>
      <c r="E127" s="5" t="n">
        <v>133</v>
      </c>
      <c r="F127" s="4" t="n">
        <v>3</v>
      </c>
      <c r="G127" s="5" t="n">
        <v>112.71</v>
      </c>
      <c r="H127" s="5" t="n">
        <v>338.14</v>
      </c>
      <c r="I127" s="6" t="n">
        <v>0.2</v>
      </c>
      <c r="J127" s="5" t="n">
        <v>270.51</v>
      </c>
      <c r="K127" s="6" t="n">
        <v>0.09</v>
      </c>
      <c r="L127" s="5" t="n">
        <v>24.35</v>
      </c>
      <c r="M127" s="6" t="n">
        <v>0.09</v>
      </c>
      <c r="N127" s="5" t="n">
        <v>24.35</v>
      </c>
      <c r="O127" s="5" t="n">
        <f aca="false">J127+L127+N127</f>
        <v>319.21</v>
      </c>
      <c r="P127" s="5" t="n">
        <f aca="false">ROUND(H127*1.18/F127,2)</f>
        <v>133</v>
      </c>
      <c r="Q127" s="5" t="n">
        <f aca="false">ROUND(H127*0.8,2)</f>
        <v>270.51</v>
      </c>
      <c r="R127" s="5" t="n">
        <f aca="false">ROUND(Q127-J127,2)</f>
        <v>0</v>
      </c>
      <c r="S127" s="5" t="n">
        <f aca="false">ROUND(J127*9%,2)</f>
        <v>24.35</v>
      </c>
      <c r="T127" s="5" t="n">
        <f aca="false">ROUND(S127-L127,2)</f>
        <v>0</v>
      </c>
      <c r="U127" s="4" t="n">
        <v>4</v>
      </c>
      <c r="V127" s="4" t="s">
        <v>26</v>
      </c>
      <c r="W127" s="7"/>
      <c r="X127" s="5" t="n">
        <f aca="false">ROUND(J127/F127,2)</f>
        <v>90.17</v>
      </c>
    </row>
    <row r="128" customFormat="false" ht="15" hidden="false" customHeight="false" outlineLevel="0" collapsed="false">
      <c r="A128" s="3" t="n">
        <v>127</v>
      </c>
      <c r="B128" s="3" t="s">
        <v>285</v>
      </c>
      <c r="C128" s="3" t="s">
        <v>286</v>
      </c>
      <c r="D128" s="4" t="s">
        <v>34</v>
      </c>
      <c r="E128" s="5" t="n">
        <v>18</v>
      </c>
      <c r="F128" s="4" t="n">
        <v>30</v>
      </c>
      <c r="G128" s="5" t="n">
        <v>15.25</v>
      </c>
      <c r="H128" s="5" t="n">
        <v>457.63</v>
      </c>
      <c r="I128" s="6" t="n">
        <v>0.2</v>
      </c>
      <c r="J128" s="5" t="n">
        <v>366.1</v>
      </c>
      <c r="K128" s="6" t="n">
        <v>0.09</v>
      </c>
      <c r="L128" s="5" t="n">
        <v>32.95</v>
      </c>
      <c r="M128" s="6" t="n">
        <v>0.09</v>
      </c>
      <c r="N128" s="5" t="n">
        <v>32.95</v>
      </c>
      <c r="O128" s="5" t="n">
        <f aca="false">J128+L128+N128</f>
        <v>432</v>
      </c>
      <c r="P128" s="5" t="n">
        <f aca="false">ROUND(H128*1.18/F128,2)</f>
        <v>18</v>
      </c>
      <c r="Q128" s="5" t="n">
        <f aca="false">ROUND(H128*0.8,2)</f>
        <v>366.1</v>
      </c>
      <c r="R128" s="5" t="n">
        <f aca="false">ROUND(Q128-J128,2)</f>
        <v>0</v>
      </c>
      <c r="S128" s="5" t="n">
        <f aca="false">ROUND(J128*9%,2)</f>
        <v>32.95</v>
      </c>
      <c r="T128" s="5" t="n">
        <f aca="false">ROUND(S128-L128,2)</f>
        <v>0</v>
      </c>
      <c r="U128" s="4" t="n">
        <v>4</v>
      </c>
      <c r="V128" s="4" t="s">
        <v>26</v>
      </c>
      <c r="W128" s="7"/>
      <c r="X128" s="5" t="n">
        <f aca="false">ROUND(J128/F128,2)</f>
        <v>12.2</v>
      </c>
    </row>
    <row r="129" customFormat="false" ht="15" hidden="false" customHeight="false" outlineLevel="0" collapsed="false">
      <c r="A129" s="3" t="n">
        <v>128</v>
      </c>
      <c r="B129" s="3" t="s">
        <v>287</v>
      </c>
      <c r="C129" s="3" t="s">
        <v>288</v>
      </c>
      <c r="D129" s="4" t="s">
        <v>34</v>
      </c>
      <c r="E129" s="5" t="n">
        <v>96</v>
      </c>
      <c r="F129" s="4" t="n">
        <v>5</v>
      </c>
      <c r="G129" s="5" t="n">
        <v>81.36</v>
      </c>
      <c r="H129" s="5" t="n">
        <v>406.78</v>
      </c>
      <c r="I129" s="6" t="n">
        <v>0.2</v>
      </c>
      <c r="J129" s="5" t="n">
        <v>325.42</v>
      </c>
      <c r="K129" s="6" t="n">
        <v>0.09</v>
      </c>
      <c r="L129" s="5" t="n">
        <v>29.29</v>
      </c>
      <c r="M129" s="6" t="n">
        <v>0.09</v>
      </c>
      <c r="N129" s="5" t="n">
        <v>29.29</v>
      </c>
      <c r="O129" s="5" t="n">
        <f aca="false">J129+L129+N129</f>
        <v>384</v>
      </c>
      <c r="P129" s="5" t="n">
        <f aca="false">ROUND(H129*1.18/F129,2)</f>
        <v>96</v>
      </c>
      <c r="Q129" s="5" t="n">
        <f aca="false">ROUND(H129*0.8,2)</f>
        <v>325.42</v>
      </c>
      <c r="R129" s="5" t="n">
        <f aca="false">ROUND(Q129-J129,2)</f>
        <v>0</v>
      </c>
      <c r="S129" s="5" t="n">
        <f aca="false">ROUND(J129*9%,2)</f>
        <v>29.29</v>
      </c>
      <c r="T129" s="5" t="n">
        <f aca="false">ROUND(S129-L129,2)</f>
        <v>0</v>
      </c>
      <c r="U129" s="4" t="n">
        <v>4</v>
      </c>
      <c r="V129" s="4" t="s">
        <v>26</v>
      </c>
      <c r="W129" s="7"/>
      <c r="X129" s="5" t="n">
        <f aca="false">ROUND(J129/F129,2)</f>
        <v>65.08</v>
      </c>
    </row>
    <row r="130" customFormat="false" ht="15" hidden="false" customHeight="false" outlineLevel="0" collapsed="false">
      <c r="A130" s="3" t="n">
        <v>129</v>
      </c>
      <c r="B130" s="3" t="s">
        <v>289</v>
      </c>
      <c r="C130" s="3" t="s">
        <v>290</v>
      </c>
      <c r="D130" s="4" t="s">
        <v>34</v>
      </c>
      <c r="E130" s="5" t="n">
        <v>87</v>
      </c>
      <c r="F130" s="4" t="n">
        <v>5</v>
      </c>
      <c r="G130" s="5" t="n">
        <v>73.73</v>
      </c>
      <c r="H130" s="5" t="n">
        <v>368.64</v>
      </c>
      <c r="I130" s="6" t="n">
        <v>0.2</v>
      </c>
      <c r="J130" s="5" t="n">
        <v>294.92</v>
      </c>
      <c r="K130" s="6" t="n">
        <v>0.09</v>
      </c>
      <c r="L130" s="5" t="n">
        <v>26.54</v>
      </c>
      <c r="M130" s="6" t="n">
        <v>0.09</v>
      </c>
      <c r="N130" s="5" t="n">
        <v>26.54</v>
      </c>
      <c r="O130" s="5" t="n">
        <f aca="false">J130+L130+N130</f>
        <v>348</v>
      </c>
      <c r="P130" s="5" t="n">
        <f aca="false">ROUND(H130*1.18/F130,2)</f>
        <v>87</v>
      </c>
      <c r="Q130" s="5" t="n">
        <f aca="false">ROUND(H130*0.8,2)</f>
        <v>294.91</v>
      </c>
      <c r="R130" s="5" t="n">
        <f aca="false">ROUND(Q130-J130,2)</f>
        <v>-0.01</v>
      </c>
      <c r="S130" s="5" t="n">
        <f aca="false">ROUND(J130*9%,2)</f>
        <v>26.54</v>
      </c>
      <c r="T130" s="5" t="n">
        <f aca="false">ROUND(S130-L130,2)</f>
        <v>0</v>
      </c>
      <c r="U130" s="4" t="n">
        <v>4</v>
      </c>
      <c r="V130" s="4" t="s">
        <v>26</v>
      </c>
      <c r="W130" s="7"/>
      <c r="X130" s="5" t="n">
        <f aca="false">ROUND(J130/F130,2)</f>
        <v>58.98</v>
      </c>
    </row>
    <row r="131" customFormat="false" ht="15" hidden="false" customHeight="false" outlineLevel="0" collapsed="false">
      <c r="A131" s="3" t="n">
        <v>130</v>
      </c>
      <c r="B131" s="3" t="s">
        <v>291</v>
      </c>
      <c r="C131" s="3" t="s">
        <v>292</v>
      </c>
      <c r="D131" s="4" t="s">
        <v>34</v>
      </c>
      <c r="E131" s="5" t="n">
        <v>104</v>
      </c>
      <c r="F131" s="4" t="n">
        <v>5</v>
      </c>
      <c r="G131" s="5" t="n">
        <v>88.14</v>
      </c>
      <c r="H131" s="5" t="n">
        <v>440.68</v>
      </c>
      <c r="I131" s="6" t="n">
        <v>0.2</v>
      </c>
      <c r="J131" s="5" t="n">
        <v>352.54</v>
      </c>
      <c r="K131" s="6" t="n">
        <v>0.09</v>
      </c>
      <c r="L131" s="5" t="n">
        <v>31.73</v>
      </c>
      <c r="M131" s="6" t="n">
        <v>0.09</v>
      </c>
      <c r="N131" s="5" t="n">
        <v>31.73</v>
      </c>
      <c r="O131" s="5" t="n">
        <f aca="false">J131+L131+N131</f>
        <v>416</v>
      </c>
      <c r="P131" s="5" t="n">
        <f aca="false">ROUND(H131*1.18/F131,2)</f>
        <v>104</v>
      </c>
      <c r="Q131" s="5" t="n">
        <f aca="false">ROUND(H131*0.8,2)</f>
        <v>352.54</v>
      </c>
      <c r="R131" s="5" t="n">
        <f aca="false">ROUND(Q131-J131,2)</f>
        <v>0</v>
      </c>
      <c r="S131" s="5" t="n">
        <f aca="false">ROUND(J131*9%,2)</f>
        <v>31.73</v>
      </c>
      <c r="T131" s="5" t="n">
        <f aca="false">ROUND(S131-L131,2)</f>
        <v>0</v>
      </c>
      <c r="U131" s="4" t="n">
        <v>4</v>
      </c>
      <c r="V131" s="4" t="s">
        <v>26</v>
      </c>
      <c r="W131" s="7"/>
      <c r="X131" s="5" t="n">
        <f aca="false">ROUND(J131/F131,2)</f>
        <v>70.51</v>
      </c>
    </row>
    <row r="132" customFormat="false" ht="15" hidden="false" customHeight="false" outlineLevel="0" collapsed="false">
      <c r="A132" s="3" t="n">
        <v>131</v>
      </c>
      <c r="B132" s="3" t="s">
        <v>293</v>
      </c>
      <c r="C132" s="3" t="s">
        <v>294</v>
      </c>
      <c r="D132" s="4" t="s">
        <v>34</v>
      </c>
      <c r="E132" s="5" t="n">
        <v>84</v>
      </c>
      <c r="F132" s="4" t="n">
        <v>20</v>
      </c>
      <c r="G132" s="5" t="n">
        <v>71.19</v>
      </c>
      <c r="H132" s="5" t="n">
        <v>1423.73</v>
      </c>
      <c r="I132" s="6" t="n">
        <v>0.2</v>
      </c>
      <c r="J132" s="5" t="n">
        <v>1138.98</v>
      </c>
      <c r="K132" s="6" t="n">
        <v>0.09</v>
      </c>
      <c r="L132" s="5" t="n">
        <v>102.51</v>
      </c>
      <c r="M132" s="6" t="n">
        <v>0.09</v>
      </c>
      <c r="N132" s="5" t="n">
        <v>102.51</v>
      </c>
      <c r="O132" s="5" t="n">
        <f aca="false">J132+L132+N132</f>
        <v>1344</v>
      </c>
      <c r="P132" s="5" t="n">
        <f aca="false">ROUND(H132*1.18/F132,2)</f>
        <v>84</v>
      </c>
      <c r="Q132" s="5" t="n">
        <f aca="false">ROUND(H132*0.8,2)</f>
        <v>1138.98</v>
      </c>
      <c r="R132" s="5" t="n">
        <f aca="false">ROUND(Q132-J132,2)</f>
        <v>0</v>
      </c>
      <c r="S132" s="5" t="n">
        <f aca="false">ROUND(J132*9%,2)</f>
        <v>102.51</v>
      </c>
      <c r="T132" s="5" t="n">
        <f aca="false">ROUND(S132-L132,2)</f>
        <v>0</v>
      </c>
      <c r="U132" s="4" t="n">
        <v>4</v>
      </c>
      <c r="V132" s="4" t="s">
        <v>26</v>
      </c>
      <c r="W132" s="7"/>
      <c r="X132" s="5" t="n">
        <f aca="false">ROUND(J132/F132,2)</f>
        <v>56.95</v>
      </c>
    </row>
    <row r="133" customFormat="false" ht="15" hidden="false" customHeight="false" outlineLevel="0" collapsed="false">
      <c r="A133" s="3" t="n">
        <v>132</v>
      </c>
      <c r="B133" s="3" t="s">
        <v>295</v>
      </c>
      <c r="C133" s="3" t="s">
        <v>296</v>
      </c>
      <c r="D133" s="4" t="s">
        <v>34</v>
      </c>
      <c r="E133" s="5" t="n">
        <v>92</v>
      </c>
      <c r="F133" s="4" t="n">
        <v>5</v>
      </c>
      <c r="G133" s="5" t="n">
        <v>77.97</v>
      </c>
      <c r="H133" s="5" t="n">
        <v>389.83</v>
      </c>
      <c r="I133" s="6" t="n">
        <v>0.2</v>
      </c>
      <c r="J133" s="5" t="n">
        <v>311.86</v>
      </c>
      <c r="K133" s="6" t="n">
        <v>0.09</v>
      </c>
      <c r="L133" s="5" t="n">
        <v>28.07</v>
      </c>
      <c r="M133" s="6" t="n">
        <v>0.09</v>
      </c>
      <c r="N133" s="5" t="n">
        <v>28.07</v>
      </c>
      <c r="O133" s="5" t="n">
        <f aca="false">J133+L133+N133</f>
        <v>368</v>
      </c>
      <c r="P133" s="5" t="n">
        <f aca="false">ROUND(H133*1.18/F133,2)</f>
        <v>92</v>
      </c>
      <c r="Q133" s="5" t="n">
        <f aca="false">ROUND(H133*0.8,2)</f>
        <v>311.86</v>
      </c>
      <c r="R133" s="5" t="n">
        <f aca="false">ROUND(Q133-J133,2)</f>
        <v>0</v>
      </c>
      <c r="S133" s="5" t="n">
        <f aca="false">ROUND(J133*9%,2)</f>
        <v>28.07</v>
      </c>
      <c r="T133" s="5" t="n">
        <f aca="false">ROUND(S133-L133,2)</f>
        <v>0</v>
      </c>
      <c r="U133" s="4" t="n">
        <v>4</v>
      </c>
      <c r="V133" s="4" t="s">
        <v>26</v>
      </c>
      <c r="W133" s="7"/>
      <c r="X133" s="5" t="n">
        <f aca="false">ROUND(J133/F133,2)</f>
        <v>62.37</v>
      </c>
    </row>
    <row r="134" customFormat="false" ht="15" hidden="false" customHeight="false" outlineLevel="0" collapsed="false">
      <c r="A134" s="3" t="n">
        <v>133</v>
      </c>
      <c r="B134" s="3" t="s">
        <v>297</v>
      </c>
      <c r="C134" s="3" t="s">
        <v>298</v>
      </c>
      <c r="D134" s="4" t="s">
        <v>34</v>
      </c>
      <c r="E134" s="5" t="n">
        <v>98</v>
      </c>
      <c r="F134" s="4" t="n">
        <v>5</v>
      </c>
      <c r="G134" s="5" t="n">
        <v>83.05</v>
      </c>
      <c r="H134" s="5" t="n">
        <v>415.25</v>
      </c>
      <c r="I134" s="6" t="n">
        <v>0.2</v>
      </c>
      <c r="J134" s="5" t="n">
        <v>332.2</v>
      </c>
      <c r="K134" s="6" t="n">
        <v>0.09</v>
      </c>
      <c r="L134" s="5" t="n">
        <v>29.9</v>
      </c>
      <c r="M134" s="6" t="n">
        <v>0.09</v>
      </c>
      <c r="N134" s="5" t="n">
        <v>29.9</v>
      </c>
      <c r="O134" s="5" t="n">
        <f aca="false">J134+L134+N134</f>
        <v>392</v>
      </c>
      <c r="P134" s="5" t="n">
        <f aca="false">ROUND(H134*1.18/F134,2)</f>
        <v>98</v>
      </c>
      <c r="Q134" s="5" t="n">
        <f aca="false">ROUND(H134*0.8,2)</f>
        <v>332.2</v>
      </c>
      <c r="R134" s="5" t="n">
        <f aca="false">ROUND(Q134-J134,2)</f>
        <v>0</v>
      </c>
      <c r="S134" s="5" t="n">
        <f aca="false">ROUND(J134*9%,2)</f>
        <v>29.9</v>
      </c>
      <c r="T134" s="5" t="n">
        <f aca="false">ROUND(S134-L134,2)</f>
        <v>0</v>
      </c>
      <c r="U134" s="4" t="n">
        <v>4</v>
      </c>
      <c r="V134" s="4" t="s">
        <v>26</v>
      </c>
      <c r="W134" s="7"/>
      <c r="X134" s="5" t="n">
        <f aca="false">ROUND(J134/F134,2)</f>
        <v>66.44</v>
      </c>
    </row>
    <row r="135" customFormat="false" ht="15" hidden="false" customHeight="false" outlineLevel="0" collapsed="false">
      <c r="A135" s="3" t="n">
        <v>134</v>
      </c>
      <c r="B135" s="3" t="s">
        <v>299</v>
      </c>
      <c r="C135" s="3" t="s">
        <v>300</v>
      </c>
      <c r="D135" s="4" t="s">
        <v>34</v>
      </c>
      <c r="E135" s="5" t="n">
        <v>94</v>
      </c>
      <c r="F135" s="4" t="n">
        <v>5</v>
      </c>
      <c r="G135" s="5" t="n">
        <v>79.66</v>
      </c>
      <c r="H135" s="5" t="n">
        <v>398.31</v>
      </c>
      <c r="I135" s="6" t="n">
        <v>0.2</v>
      </c>
      <c r="J135" s="5" t="n">
        <v>318.64</v>
      </c>
      <c r="K135" s="6" t="n">
        <v>0.09</v>
      </c>
      <c r="L135" s="5" t="n">
        <v>28.68</v>
      </c>
      <c r="M135" s="6" t="n">
        <v>0.09</v>
      </c>
      <c r="N135" s="5" t="n">
        <v>28.68</v>
      </c>
      <c r="O135" s="5" t="n">
        <f aca="false">J135+L135+N135</f>
        <v>376</v>
      </c>
      <c r="P135" s="5" t="n">
        <f aca="false">ROUND(H135*1.18/F135,2)</f>
        <v>94</v>
      </c>
      <c r="Q135" s="5" t="n">
        <f aca="false">ROUND(H135*0.8,2)</f>
        <v>318.65</v>
      </c>
      <c r="R135" s="5" t="n">
        <f aca="false">ROUND(Q135-J135,2)</f>
        <v>0.01</v>
      </c>
      <c r="S135" s="5" t="n">
        <f aca="false">ROUND(J135*9%,2)</f>
        <v>28.68</v>
      </c>
      <c r="T135" s="5" t="n">
        <f aca="false">ROUND(S135-L135,2)</f>
        <v>0</v>
      </c>
      <c r="U135" s="4" t="n">
        <v>5</v>
      </c>
      <c r="V135" s="4" t="s">
        <v>26</v>
      </c>
      <c r="W135" s="7"/>
      <c r="X135" s="5" t="n">
        <f aca="false">ROUND(J135/F135,2)</f>
        <v>63.73</v>
      </c>
    </row>
    <row r="136" customFormat="false" ht="15" hidden="false" customHeight="false" outlineLevel="0" collapsed="false">
      <c r="A136" s="3" t="n">
        <v>135</v>
      </c>
      <c r="B136" s="3" t="s">
        <v>301</v>
      </c>
      <c r="C136" s="3" t="s">
        <v>302</v>
      </c>
      <c r="D136" s="4" t="s">
        <v>34</v>
      </c>
      <c r="E136" s="5" t="n">
        <v>857</v>
      </c>
      <c r="F136" s="4" t="n">
        <v>1</v>
      </c>
      <c r="G136" s="5" t="n">
        <v>726.27</v>
      </c>
      <c r="H136" s="5" t="n">
        <v>726.27</v>
      </c>
      <c r="I136" s="6" t="n">
        <v>0.2</v>
      </c>
      <c r="J136" s="5" t="n">
        <v>581.02</v>
      </c>
      <c r="K136" s="6" t="n">
        <v>0.09</v>
      </c>
      <c r="L136" s="5" t="n">
        <v>52.29</v>
      </c>
      <c r="M136" s="6" t="n">
        <v>0.09</v>
      </c>
      <c r="N136" s="5" t="n">
        <v>52.29</v>
      </c>
      <c r="O136" s="5" t="n">
        <f aca="false">J136+L136+N136</f>
        <v>685.6</v>
      </c>
      <c r="P136" s="5" t="n">
        <f aca="false">ROUND(H136*1.18/F136,2)</f>
        <v>857</v>
      </c>
      <c r="Q136" s="5" t="n">
        <f aca="false">ROUND(H136*0.8,2)</f>
        <v>581.02</v>
      </c>
      <c r="R136" s="5" t="n">
        <f aca="false">ROUND(Q136-J136,2)</f>
        <v>0</v>
      </c>
      <c r="S136" s="5" t="n">
        <f aca="false">ROUND(J136*9%,2)</f>
        <v>52.29</v>
      </c>
      <c r="T136" s="5" t="n">
        <f aca="false">ROUND(S136-L136,2)</f>
        <v>0</v>
      </c>
      <c r="U136" s="4" t="n">
        <v>5</v>
      </c>
      <c r="V136" s="4" t="s">
        <v>26</v>
      </c>
      <c r="W136" s="7"/>
      <c r="X136" s="5" t="n">
        <f aca="false">ROUND(J136/F136,2)</f>
        <v>581.02</v>
      </c>
    </row>
    <row r="137" customFormat="false" ht="15" hidden="false" customHeight="false" outlineLevel="0" collapsed="false">
      <c r="A137" s="3" t="n">
        <v>136</v>
      </c>
      <c r="B137" s="3" t="s">
        <v>303</v>
      </c>
      <c r="C137" s="3" t="s">
        <v>304</v>
      </c>
      <c r="D137" s="4" t="s">
        <v>34</v>
      </c>
      <c r="E137" s="5" t="n">
        <v>802</v>
      </c>
      <c r="F137" s="4" t="n">
        <v>1</v>
      </c>
      <c r="G137" s="5" t="n">
        <v>679.66</v>
      </c>
      <c r="H137" s="5" t="n">
        <v>679.66</v>
      </c>
      <c r="I137" s="6" t="n">
        <v>0.2</v>
      </c>
      <c r="J137" s="5" t="n">
        <v>543.73</v>
      </c>
      <c r="K137" s="6" t="n">
        <v>0.09</v>
      </c>
      <c r="L137" s="5" t="n">
        <v>48.94</v>
      </c>
      <c r="M137" s="6" t="n">
        <v>0.09</v>
      </c>
      <c r="N137" s="5" t="n">
        <v>48.94</v>
      </c>
      <c r="O137" s="5" t="n">
        <f aca="false">J137+L137+N137</f>
        <v>641.61</v>
      </c>
      <c r="P137" s="5" t="n">
        <f aca="false">ROUND(H137*1.18/F137,2)</f>
        <v>802</v>
      </c>
      <c r="Q137" s="5" t="n">
        <f aca="false">ROUND(H137*0.8,2)</f>
        <v>543.73</v>
      </c>
      <c r="R137" s="5" t="n">
        <f aca="false">ROUND(Q137-J137,2)</f>
        <v>0</v>
      </c>
      <c r="S137" s="5" t="n">
        <f aca="false">ROUND(J137*9%,2)</f>
        <v>48.94</v>
      </c>
      <c r="T137" s="5" t="n">
        <f aca="false">ROUND(S137-L137,2)</f>
        <v>0</v>
      </c>
      <c r="U137" s="4" t="n">
        <v>5</v>
      </c>
      <c r="V137" s="4" t="s">
        <v>26</v>
      </c>
      <c r="W137" s="7"/>
      <c r="X137" s="5" t="n">
        <f aca="false">ROUND(J137/F137,2)</f>
        <v>543.73</v>
      </c>
    </row>
    <row r="138" customFormat="false" ht="15" hidden="false" customHeight="false" outlineLevel="0" collapsed="false">
      <c r="A138" s="3" t="n">
        <v>137</v>
      </c>
      <c r="B138" s="3" t="s">
        <v>305</v>
      </c>
      <c r="C138" s="3" t="s">
        <v>306</v>
      </c>
      <c r="D138" s="4" t="s">
        <v>34</v>
      </c>
      <c r="E138" s="5" t="n">
        <v>917</v>
      </c>
      <c r="F138" s="4" t="n">
        <v>1</v>
      </c>
      <c r="G138" s="5" t="n">
        <v>777.12</v>
      </c>
      <c r="H138" s="5" t="n">
        <v>777.12</v>
      </c>
      <c r="I138" s="6" t="n">
        <v>0.2</v>
      </c>
      <c r="J138" s="5" t="n">
        <v>621.69</v>
      </c>
      <c r="K138" s="6" t="n">
        <v>0.09</v>
      </c>
      <c r="L138" s="5" t="n">
        <v>55.95</v>
      </c>
      <c r="M138" s="6" t="n">
        <v>0.09</v>
      </c>
      <c r="N138" s="5" t="n">
        <v>55.95</v>
      </c>
      <c r="O138" s="5" t="n">
        <f aca="false">J138+L138+N138</f>
        <v>733.59</v>
      </c>
      <c r="P138" s="5" t="n">
        <f aca="false">ROUND(H138*1.18/F138,2)</f>
        <v>917</v>
      </c>
      <c r="Q138" s="5" t="n">
        <f aca="false">ROUND(H138*0.8,2)</f>
        <v>621.7</v>
      </c>
      <c r="R138" s="5" t="n">
        <f aca="false">ROUND(Q138-J138,2)</f>
        <v>0.01</v>
      </c>
      <c r="S138" s="5" t="n">
        <f aca="false">ROUND(J138*9%,2)</f>
        <v>55.95</v>
      </c>
      <c r="T138" s="5" t="n">
        <f aca="false">ROUND(S138-L138,2)</f>
        <v>0</v>
      </c>
      <c r="U138" s="4" t="n">
        <v>5</v>
      </c>
      <c r="V138" s="4" t="s">
        <v>26</v>
      </c>
      <c r="W138" s="7"/>
      <c r="X138" s="5" t="n">
        <f aca="false">ROUND(J138/F138,2)</f>
        <v>621.69</v>
      </c>
    </row>
    <row r="139" customFormat="false" ht="15" hidden="false" customHeight="false" outlineLevel="0" collapsed="false">
      <c r="A139" s="3" t="n">
        <v>138</v>
      </c>
      <c r="B139" s="3" t="s">
        <v>307</v>
      </c>
      <c r="C139" s="3" t="s">
        <v>308</v>
      </c>
      <c r="D139" s="4" t="s">
        <v>34</v>
      </c>
      <c r="E139" s="5" t="n">
        <v>87</v>
      </c>
      <c r="F139" s="4" t="n">
        <v>20</v>
      </c>
      <c r="G139" s="5" t="n">
        <v>73.73</v>
      </c>
      <c r="H139" s="5" t="n">
        <v>1474.58</v>
      </c>
      <c r="I139" s="6" t="n">
        <v>0.2</v>
      </c>
      <c r="J139" s="5" t="n">
        <v>1179.66</v>
      </c>
      <c r="K139" s="6" t="n">
        <v>0.09</v>
      </c>
      <c r="L139" s="5" t="n">
        <v>106.17</v>
      </c>
      <c r="M139" s="6" t="n">
        <v>0.09</v>
      </c>
      <c r="N139" s="5" t="n">
        <v>106.17</v>
      </c>
      <c r="O139" s="5" t="n">
        <f aca="false">J139+L139+N139</f>
        <v>1392</v>
      </c>
      <c r="P139" s="5" t="n">
        <f aca="false">ROUND(H139*1.18/F139,2)</f>
        <v>87</v>
      </c>
      <c r="Q139" s="5" t="n">
        <f aca="false">ROUND(H139*0.8,2)</f>
        <v>1179.66</v>
      </c>
      <c r="R139" s="5" t="n">
        <f aca="false">ROUND(Q139-J139,2)</f>
        <v>0</v>
      </c>
      <c r="S139" s="5" t="n">
        <f aca="false">ROUND(J139*9%,2)</f>
        <v>106.17</v>
      </c>
      <c r="T139" s="5" t="n">
        <f aca="false">ROUND(S139-L139,2)</f>
        <v>0</v>
      </c>
      <c r="U139" s="4" t="n">
        <v>5</v>
      </c>
      <c r="V139" s="4" t="s">
        <v>26</v>
      </c>
      <c r="W139" s="7"/>
      <c r="X139" s="5" t="n">
        <f aca="false">ROUND(J139/F139,2)</f>
        <v>58.98</v>
      </c>
    </row>
    <row r="140" customFormat="false" ht="15" hidden="false" customHeight="false" outlineLevel="0" collapsed="false">
      <c r="A140" s="3" t="n">
        <v>139</v>
      </c>
      <c r="B140" s="3" t="s">
        <v>309</v>
      </c>
      <c r="C140" s="3" t="s">
        <v>310</v>
      </c>
      <c r="D140" s="4" t="s">
        <v>34</v>
      </c>
      <c r="E140" s="5" t="n">
        <v>142</v>
      </c>
      <c r="F140" s="4" t="n">
        <v>10</v>
      </c>
      <c r="G140" s="5" t="n">
        <v>120.34</v>
      </c>
      <c r="H140" s="5" t="n">
        <v>1203.39</v>
      </c>
      <c r="I140" s="6" t="n">
        <v>0.2</v>
      </c>
      <c r="J140" s="5" t="n">
        <v>962.71</v>
      </c>
      <c r="K140" s="6" t="n">
        <v>0.09</v>
      </c>
      <c r="L140" s="5" t="n">
        <v>86.64</v>
      </c>
      <c r="M140" s="6" t="n">
        <v>0.09</v>
      </c>
      <c r="N140" s="5" t="n">
        <v>86.64</v>
      </c>
      <c r="O140" s="5" t="n">
        <f aca="false">J140+L140+N140</f>
        <v>1135.99</v>
      </c>
      <c r="P140" s="5" t="n">
        <f aca="false">ROUND(H140*1.18/F140,2)</f>
        <v>142</v>
      </c>
      <c r="Q140" s="5" t="n">
        <f aca="false">ROUND(H140*0.8,2)</f>
        <v>962.71</v>
      </c>
      <c r="R140" s="5" t="n">
        <f aca="false">ROUND(Q140-J140,2)</f>
        <v>0</v>
      </c>
      <c r="S140" s="5" t="n">
        <f aca="false">ROUND(J140*9%,2)</f>
        <v>86.64</v>
      </c>
      <c r="T140" s="5" t="n">
        <f aca="false">ROUND(S140-L140,2)</f>
        <v>0</v>
      </c>
      <c r="U140" s="4" t="n">
        <v>5</v>
      </c>
      <c r="V140" s="4" t="s">
        <v>26</v>
      </c>
      <c r="W140" s="7"/>
      <c r="X140" s="5" t="n">
        <f aca="false">ROUND(J140/F140,2)</f>
        <v>96.27</v>
      </c>
    </row>
    <row r="141" customFormat="false" ht="15" hidden="false" customHeight="false" outlineLevel="0" collapsed="false">
      <c r="A141" s="3" t="n">
        <v>140</v>
      </c>
      <c r="B141" s="3" t="s">
        <v>311</v>
      </c>
      <c r="C141" s="3" t="s">
        <v>312</v>
      </c>
      <c r="D141" s="4" t="s">
        <v>313</v>
      </c>
      <c r="E141" s="5" t="n">
        <v>11</v>
      </c>
      <c r="F141" s="4" t="n">
        <v>20</v>
      </c>
      <c r="G141" s="5" t="n">
        <v>9.32</v>
      </c>
      <c r="H141" s="5" t="n">
        <v>186.44</v>
      </c>
      <c r="I141" s="6" t="n">
        <v>0.2</v>
      </c>
      <c r="J141" s="5" t="n">
        <v>149.15</v>
      </c>
      <c r="K141" s="6" t="n">
        <v>0.09</v>
      </c>
      <c r="L141" s="5" t="n">
        <v>13.42</v>
      </c>
      <c r="M141" s="6" t="n">
        <v>0.09</v>
      </c>
      <c r="N141" s="5" t="n">
        <v>13.42</v>
      </c>
      <c r="O141" s="5" t="n">
        <f aca="false">J141+L141+N141</f>
        <v>175.99</v>
      </c>
      <c r="P141" s="5" t="n">
        <f aca="false">ROUND(H141*1.18/F141,2)</f>
        <v>11</v>
      </c>
      <c r="Q141" s="5" t="n">
        <f aca="false">ROUND(H141*0.8,2)</f>
        <v>149.15</v>
      </c>
      <c r="R141" s="5" t="n">
        <f aca="false">ROUND(Q141-J141,2)</f>
        <v>0</v>
      </c>
      <c r="S141" s="5" t="n">
        <f aca="false">ROUND(J141*9%,2)</f>
        <v>13.42</v>
      </c>
      <c r="T141" s="5" t="n">
        <f aca="false">ROUND(S141-L141,2)</f>
        <v>0</v>
      </c>
      <c r="U141" s="4" t="n">
        <v>5</v>
      </c>
      <c r="V141" s="4" t="s">
        <v>26</v>
      </c>
      <c r="W141" s="7"/>
      <c r="X141" s="5" t="n">
        <f aca="false">ROUND(J141/F141,2)</f>
        <v>7.46</v>
      </c>
    </row>
    <row r="142" customFormat="false" ht="15" hidden="false" customHeight="false" outlineLevel="0" collapsed="false">
      <c r="A142" s="3" t="n">
        <v>141</v>
      </c>
      <c r="B142" s="3" t="s">
        <v>314</v>
      </c>
      <c r="C142" s="3" t="s">
        <v>315</v>
      </c>
      <c r="D142" s="4" t="s">
        <v>34</v>
      </c>
      <c r="E142" s="5" t="n">
        <v>12</v>
      </c>
      <c r="F142" s="4" t="n">
        <v>20</v>
      </c>
      <c r="G142" s="5" t="n">
        <v>9.75</v>
      </c>
      <c r="H142" s="5" t="n">
        <v>194.92</v>
      </c>
      <c r="I142" s="6" t="n">
        <v>0.2</v>
      </c>
      <c r="J142" s="5" t="n">
        <v>155.93</v>
      </c>
      <c r="K142" s="6" t="n">
        <v>0.09</v>
      </c>
      <c r="L142" s="5" t="n">
        <v>14.03</v>
      </c>
      <c r="M142" s="6" t="n">
        <v>0.09</v>
      </c>
      <c r="N142" s="5" t="n">
        <v>14.03</v>
      </c>
      <c r="O142" s="5" t="n">
        <f aca="false">J142+L142+N142</f>
        <v>183.99</v>
      </c>
      <c r="P142" s="5" t="n">
        <f aca="false">ROUND(H142*1.18/F142,2)</f>
        <v>11.5</v>
      </c>
      <c r="Q142" s="5" t="n">
        <f aca="false">ROUND(H142*0.8,2)</f>
        <v>155.94</v>
      </c>
      <c r="R142" s="5" t="n">
        <f aca="false">ROUND(Q142-J142,2)</f>
        <v>0.01</v>
      </c>
      <c r="S142" s="5" t="n">
        <f aca="false">ROUND(J142*9%,2)</f>
        <v>14.03</v>
      </c>
      <c r="T142" s="5" t="n">
        <f aca="false">ROUND(S142-L142,2)</f>
        <v>0</v>
      </c>
      <c r="U142" s="4" t="n">
        <v>5</v>
      </c>
      <c r="V142" s="4" t="s">
        <v>26</v>
      </c>
      <c r="W142" s="7"/>
      <c r="X142" s="5" t="n">
        <f aca="false">ROUND(J142/F142,2)</f>
        <v>7.8</v>
      </c>
    </row>
    <row r="143" customFormat="false" ht="15" hidden="false" customHeight="false" outlineLevel="0" collapsed="false">
      <c r="A143" s="3" t="n">
        <v>142</v>
      </c>
      <c r="B143" s="3" t="s">
        <v>316</v>
      </c>
      <c r="C143" s="3" t="s">
        <v>317</v>
      </c>
      <c r="D143" s="4" t="s">
        <v>34</v>
      </c>
      <c r="E143" s="5" t="n">
        <v>299</v>
      </c>
      <c r="F143" s="4" t="n">
        <v>3</v>
      </c>
      <c r="G143" s="5" t="n">
        <v>253.39</v>
      </c>
      <c r="H143" s="5" t="n">
        <v>760.17</v>
      </c>
      <c r="I143" s="6" t="n">
        <v>0.2</v>
      </c>
      <c r="J143" s="5" t="n">
        <v>608.14</v>
      </c>
      <c r="K143" s="6" t="n">
        <v>0.09</v>
      </c>
      <c r="L143" s="5" t="n">
        <v>54.73</v>
      </c>
      <c r="M143" s="6" t="n">
        <v>0.09</v>
      </c>
      <c r="N143" s="5" t="n">
        <v>54.73</v>
      </c>
      <c r="O143" s="5" t="n">
        <f aca="false">J143+L143+N143</f>
        <v>717.6</v>
      </c>
      <c r="P143" s="5" t="n">
        <f aca="false">ROUND(H143*1.18/F143,2)</f>
        <v>299</v>
      </c>
      <c r="Q143" s="5" t="n">
        <f aca="false">ROUND(H143*0.8,2)</f>
        <v>608.14</v>
      </c>
      <c r="R143" s="5" t="n">
        <f aca="false">ROUND(Q143-J143,2)</f>
        <v>0</v>
      </c>
      <c r="S143" s="5" t="n">
        <f aca="false">ROUND(J143*9%,2)</f>
        <v>54.73</v>
      </c>
      <c r="T143" s="5" t="n">
        <f aca="false">ROUND(S143-L143,2)</f>
        <v>0</v>
      </c>
      <c r="U143" s="4" t="n">
        <v>5</v>
      </c>
      <c r="V143" s="4" t="s">
        <v>26</v>
      </c>
      <c r="W143" s="7"/>
      <c r="X143" s="5" t="n">
        <f aca="false">ROUND(J143/F143,2)</f>
        <v>202.71</v>
      </c>
    </row>
    <row r="144" customFormat="false" ht="15" hidden="false" customHeight="false" outlineLevel="0" collapsed="false">
      <c r="A144" s="3" t="n">
        <v>143</v>
      </c>
      <c r="B144" s="3" t="s">
        <v>318</v>
      </c>
      <c r="C144" s="3" t="s">
        <v>319</v>
      </c>
      <c r="D144" s="4" t="s">
        <v>34</v>
      </c>
      <c r="E144" s="5" t="n">
        <v>212</v>
      </c>
      <c r="F144" s="4" t="n">
        <v>3</v>
      </c>
      <c r="G144" s="5" t="n">
        <v>179.66</v>
      </c>
      <c r="H144" s="5" t="n">
        <v>538.98</v>
      </c>
      <c r="I144" s="6" t="n">
        <v>0.2</v>
      </c>
      <c r="J144" s="5" t="n">
        <v>431.19</v>
      </c>
      <c r="K144" s="6" t="n">
        <v>0.09</v>
      </c>
      <c r="L144" s="5" t="n">
        <v>38.81</v>
      </c>
      <c r="M144" s="6" t="n">
        <v>0.09</v>
      </c>
      <c r="N144" s="5" t="n">
        <v>38.81</v>
      </c>
      <c r="O144" s="5" t="n">
        <f aca="false">J144+L144+N144</f>
        <v>508.81</v>
      </c>
      <c r="P144" s="5" t="n">
        <f aca="false">ROUND(H144*1.18/F144,2)</f>
        <v>212</v>
      </c>
      <c r="Q144" s="5" t="n">
        <f aca="false">ROUND(H144*0.8,2)</f>
        <v>431.18</v>
      </c>
      <c r="R144" s="5" t="n">
        <f aca="false">ROUND(Q144-J144,2)</f>
        <v>-0.01</v>
      </c>
      <c r="S144" s="5" t="n">
        <f aca="false">ROUND(J144*9%,2)</f>
        <v>38.81</v>
      </c>
      <c r="T144" s="5" t="n">
        <f aca="false">ROUND(S144-L144,2)</f>
        <v>0</v>
      </c>
      <c r="U144" s="4" t="n">
        <v>5</v>
      </c>
      <c r="V144" s="4" t="s">
        <v>26</v>
      </c>
      <c r="W144" s="7"/>
      <c r="X144" s="5" t="n">
        <f aca="false">ROUND(J144/F144,2)</f>
        <v>143.73</v>
      </c>
    </row>
    <row r="145" customFormat="false" ht="15" hidden="false" customHeight="false" outlineLevel="0" collapsed="false">
      <c r="A145" s="3" t="n">
        <v>144</v>
      </c>
      <c r="B145" s="3" t="s">
        <v>320</v>
      </c>
      <c r="C145" s="3" t="s">
        <v>321</v>
      </c>
      <c r="D145" s="4" t="s">
        <v>34</v>
      </c>
      <c r="E145" s="5" t="n">
        <v>276</v>
      </c>
      <c r="F145" s="4" t="n">
        <v>3</v>
      </c>
      <c r="G145" s="5" t="n">
        <v>233.9</v>
      </c>
      <c r="H145" s="5" t="n">
        <v>701.69</v>
      </c>
      <c r="I145" s="6" t="n">
        <v>0.2</v>
      </c>
      <c r="J145" s="5" t="n">
        <v>561.36</v>
      </c>
      <c r="K145" s="6" t="n">
        <v>0.09</v>
      </c>
      <c r="L145" s="5" t="n">
        <v>50.52</v>
      </c>
      <c r="M145" s="6" t="n">
        <v>0.09</v>
      </c>
      <c r="N145" s="5" t="n">
        <v>50.52</v>
      </c>
      <c r="O145" s="5" t="n">
        <f aca="false">J145+L145+N145</f>
        <v>662.4</v>
      </c>
      <c r="P145" s="5" t="n">
        <f aca="false">ROUND(H145*1.18/F145,2)</f>
        <v>276</v>
      </c>
      <c r="Q145" s="5" t="n">
        <f aca="false">ROUND(H145*0.8,2)</f>
        <v>561.35</v>
      </c>
      <c r="R145" s="5" t="n">
        <f aca="false">ROUND(Q145-J145,2)</f>
        <v>-0.01</v>
      </c>
      <c r="S145" s="5" t="n">
        <f aca="false">ROUND(J145*9%,2)</f>
        <v>50.52</v>
      </c>
      <c r="T145" s="5" t="n">
        <f aca="false">ROUND(S145-L145,2)</f>
        <v>0</v>
      </c>
      <c r="U145" s="4" t="n">
        <v>5</v>
      </c>
      <c r="V145" s="4" t="s">
        <v>26</v>
      </c>
      <c r="W145" s="7"/>
      <c r="X145" s="5" t="n">
        <f aca="false">ROUND(J145/F145,2)</f>
        <v>187.12</v>
      </c>
    </row>
    <row r="146" customFormat="false" ht="15" hidden="false" customHeight="false" outlineLevel="0" collapsed="false">
      <c r="A146" s="3" t="n">
        <v>145</v>
      </c>
      <c r="B146" s="3" t="s">
        <v>322</v>
      </c>
      <c r="C146" s="3" t="s">
        <v>323</v>
      </c>
      <c r="D146" s="4" t="s">
        <v>34</v>
      </c>
      <c r="E146" s="5" t="n">
        <v>262</v>
      </c>
      <c r="F146" s="4" t="n">
        <v>3</v>
      </c>
      <c r="G146" s="5" t="n">
        <v>222.03</v>
      </c>
      <c r="H146" s="5" t="n">
        <v>666.1</v>
      </c>
      <c r="I146" s="6" t="n">
        <v>0.2</v>
      </c>
      <c r="J146" s="5" t="n">
        <v>532.88</v>
      </c>
      <c r="K146" s="6" t="n">
        <v>0.09</v>
      </c>
      <c r="L146" s="5" t="n">
        <v>47.96</v>
      </c>
      <c r="M146" s="6" t="n">
        <v>0.09</v>
      </c>
      <c r="N146" s="5" t="n">
        <v>47.96</v>
      </c>
      <c r="O146" s="5" t="n">
        <f aca="false">J146+L146+N146</f>
        <v>628.8</v>
      </c>
      <c r="P146" s="5" t="n">
        <f aca="false">ROUND(H146*1.18/F146,2)</f>
        <v>262</v>
      </c>
      <c r="Q146" s="5" t="n">
        <f aca="false">ROUND(H146*0.8,2)</f>
        <v>532.88</v>
      </c>
      <c r="R146" s="5" t="n">
        <f aca="false">ROUND(Q146-J146,2)</f>
        <v>0</v>
      </c>
      <c r="S146" s="5" t="n">
        <f aca="false">ROUND(J146*9%,2)</f>
        <v>47.96</v>
      </c>
      <c r="T146" s="5" t="n">
        <f aca="false">ROUND(S146-L146,2)</f>
        <v>0</v>
      </c>
      <c r="U146" s="4" t="n">
        <v>5</v>
      </c>
      <c r="V146" s="4" t="s">
        <v>26</v>
      </c>
      <c r="W146" s="7"/>
      <c r="X146" s="5" t="n">
        <f aca="false">ROUND(J146/F146,2)</f>
        <v>177.63</v>
      </c>
    </row>
    <row r="147" customFormat="false" ht="15" hidden="false" customHeight="false" outlineLevel="0" collapsed="false">
      <c r="A147" s="3" t="n">
        <v>146</v>
      </c>
      <c r="B147" s="3" t="s">
        <v>324</v>
      </c>
      <c r="C147" s="3" t="s">
        <v>325</v>
      </c>
      <c r="D147" s="4" t="s">
        <v>326</v>
      </c>
      <c r="E147" s="5" t="n">
        <v>50</v>
      </c>
      <c r="F147" s="4" t="n">
        <v>20</v>
      </c>
      <c r="G147" s="5" t="n">
        <v>42.37</v>
      </c>
      <c r="H147" s="5" t="n">
        <v>847.46</v>
      </c>
      <c r="I147" s="6" t="n">
        <v>0.2</v>
      </c>
      <c r="J147" s="5" t="n">
        <v>677.97</v>
      </c>
      <c r="K147" s="6" t="n">
        <v>0.09</v>
      </c>
      <c r="L147" s="5" t="n">
        <v>61.02</v>
      </c>
      <c r="M147" s="6" t="n">
        <v>0.09</v>
      </c>
      <c r="N147" s="5" t="n">
        <v>61.02</v>
      </c>
      <c r="O147" s="5" t="n">
        <f aca="false">J147+L147+N147</f>
        <v>800.01</v>
      </c>
      <c r="P147" s="5" t="n">
        <f aca="false">ROUND(H147*1.18/F147,2)</f>
        <v>50</v>
      </c>
      <c r="Q147" s="5" t="n">
        <f aca="false">ROUND(H147*0.8,2)</f>
        <v>677.97</v>
      </c>
      <c r="R147" s="5" t="n">
        <f aca="false">ROUND(Q147-J147,2)</f>
        <v>0</v>
      </c>
      <c r="S147" s="5" t="n">
        <f aca="false">ROUND(J147*9%,2)</f>
        <v>61.02</v>
      </c>
      <c r="T147" s="5" t="n">
        <f aca="false">ROUND(S147-L147,2)</f>
        <v>0</v>
      </c>
      <c r="U147" s="4" t="n">
        <v>5</v>
      </c>
      <c r="V147" s="4" t="s">
        <v>26</v>
      </c>
      <c r="W147" s="7"/>
      <c r="X147" s="5" t="n">
        <f aca="false">ROUND(J147/F147,2)</f>
        <v>33.9</v>
      </c>
    </row>
    <row r="148" customFormat="false" ht="15" hidden="false" customHeight="false" outlineLevel="0" collapsed="false">
      <c r="A148" s="3" t="n">
        <v>147</v>
      </c>
      <c r="B148" s="3" t="s">
        <v>327</v>
      </c>
      <c r="C148" s="3" t="s">
        <v>328</v>
      </c>
      <c r="D148" s="4" t="s">
        <v>34</v>
      </c>
      <c r="E148" s="5" t="n">
        <v>32</v>
      </c>
      <c r="F148" s="4" t="n">
        <v>5</v>
      </c>
      <c r="G148" s="5" t="n">
        <v>27.12</v>
      </c>
      <c r="H148" s="5" t="n">
        <v>135.59</v>
      </c>
      <c r="I148" s="6" t="n">
        <v>0.2</v>
      </c>
      <c r="J148" s="5" t="n">
        <v>108.47</v>
      </c>
      <c r="K148" s="6" t="n">
        <v>0.09</v>
      </c>
      <c r="L148" s="5" t="n">
        <v>9.76</v>
      </c>
      <c r="M148" s="6" t="n">
        <v>0.09</v>
      </c>
      <c r="N148" s="5" t="n">
        <v>9.76</v>
      </c>
      <c r="O148" s="5" t="n">
        <f aca="false">J148+L148+N148</f>
        <v>127.99</v>
      </c>
      <c r="P148" s="5" t="n">
        <f aca="false">ROUND(H148*1.18/F148,2)</f>
        <v>32</v>
      </c>
      <c r="Q148" s="5" t="n">
        <f aca="false">ROUND(H148*0.8,2)</f>
        <v>108.47</v>
      </c>
      <c r="R148" s="5" t="n">
        <f aca="false">ROUND(Q148-J148,2)</f>
        <v>0</v>
      </c>
      <c r="S148" s="5" t="n">
        <f aca="false">ROUND(J148*9%,2)</f>
        <v>9.76</v>
      </c>
      <c r="T148" s="5" t="n">
        <f aca="false">ROUND(S148-L148,2)</f>
        <v>0</v>
      </c>
      <c r="U148" s="4" t="n">
        <v>5</v>
      </c>
      <c r="V148" s="4" t="s">
        <v>26</v>
      </c>
      <c r="W148" s="7"/>
      <c r="X148" s="5" t="n">
        <f aca="false">ROUND(J148/F148,2)</f>
        <v>21.69</v>
      </c>
    </row>
    <row r="149" customFormat="false" ht="15" hidden="false" customHeight="false" outlineLevel="0" collapsed="false">
      <c r="A149" s="3" t="n">
        <v>148</v>
      </c>
      <c r="B149" s="3" t="s">
        <v>329</v>
      </c>
      <c r="C149" s="3" t="s">
        <v>330</v>
      </c>
      <c r="D149" s="4" t="s">
        <v>34</v>
      </c>
      <c r="E149" s="5" t="n">
        <v>82</v>
      </c>
      <c r="F149" s="4" t="n">
        <v>5</v>
      </c>
      <c r="G149" s="5" t="n">
        <v>69.49</v>
      </c>
      <c r="H149" s="5" t="n">
        <v>347.46</v>
      </c>
      <c r="I149" s="6" t="n">
        <v>0.2</v>
      </c>
      <c r="J149" s="5" t="n">
        <v>277.97</v>
      </c>
      <c r="K149" s="6" t="n">
        <v>0.09</v>
      </c>
      <c r="L149" s="5" t="n">
        <v>25.02</v>
      </c>
      <c r="M149" s="6" t="n">
        <v>0.09</v>
      </c>
      <c r="N149" s="5" t="n">
        <v>25.02</v>
      </c>
      <c r="O149" s="5" t="n">
        <f aca="false">J149+L149+N149</f>
        <v>328.01</v>
      </c>
      <c r="P149" s="5" t="n">
        <f aca="false">ROUND(H149*1.18/F149,2)</f>
        <v>82</v>
      </c>
      <c r="Q149" s="5" t="n">
        <f aca="false">ROUND(H149*0.8,2)</f>
        <v>277.97</v>
      </c>
      <c r="R149" s="5" t="n">
        <f aca="false">ROUND(Q149-J149,2)</f>
        <v>0</v>
      </c>
      <c r="S149" s="5" t="n">
        <f aca="false">ROUND(J149*9%,2)</f>
        <v>25.02</v>
      </c>
      <c r="T149" s="5" t="n">
        <f aca="false">ROUND(S149-L149,2)</f>
        <v>0</v>
      </c>
      <c r="U149" s="4" t="n">
        <v>5</v>
      </c>
      <c r="V149" s="4" t="s">
        <v>26</v>
      </c>
      <c r="W149" s="7"/>
      <c r="X149" s="5" t="n">
        <f aca="false">ROUND(J149/F149,2)</f>
        <v>55.59</v>
      </c>
    </row>
    <row r="150" customFormat="false" ht="15" hidden="false" customHeight="false" outlineLevel="0" collapsed="false">
      <c r="A150" s="3" t="n">
        <v>149</v>
      </c>
      <c r="B150" s="3" t="s">
        <v>331</v>
      </c>
      <c r="C150" s="3" t="s">
        <v>332</v>
      </c>
      <c r="D150" s="4" t="s">
        <v>34</v>
      </c>
      <c r="E150" s="5" t="n">
        <v>14</v>
      </c>
      <c r="F150" s="4" t="n">
        <v>5</v>
      </c>
      <c r="G150" s="5" t="n">
        <v>12.2</v>
      </c>
      <c r="H150" s="5" t="n">
        <v>61.02</v>
      </c>
      <c r="I150" s="6" t="n">
        <v>0.2</v>
      </c>
      <c r="J150" s="5" t="n">
        <v>48.81</v>
      </c>
      <c r="K150" s="6" t="n">
        <v>0.09</v>
      </c>
      <c r="L150" s="5" t="n">
        <v>4.39</v>
      </c>
      <c r="M150" s="6" t="n">
        <v>0.09</v>
      </c>
      <c r="N150" s="5" t="n">
        <v>4.39</v>
      </c>
      <c r="O150" s="5" t="n">
        <f aca="false">J150+L150+N150</f>
        <v>57.59</v>
      </c>
      <c r="P150" s="5" t="n">
        <f aca="false">ROUND(H150*1.18/F150,2)</f>
        <v>14.4</v>
      </c>
      <c r="Q150" s="5" t="n">
        <f aca="false">ROUND(H150*0.8,2)</f>
        <v>48.82</v>
      </c>
      <c r="R150" s="5" t="n">
        <f aca="false">ROUND(Q150-J150,2)</f>
        <v>0.01</v>
      </c>
      <c r="S150" s="5" t="n">
        <f aca="false">ROUND(J150*9%,2)</f>
        <v>4.39</v>
      </c>
      <c r="T150" s="5" t="n">
        <f aca="false">ROUND(S150-L150,2)</f>
        <v>0</v>
      </c>
      <c r="U150" s="4" t="n">
        <v>5</v>
      </c>
      <c r="V150" s="4" t="s">
        <v>26</v>
      </c>
      <c r="W150" s="7"/>
      <c r="X150" s="5" t="n">
        <f aca="false">ROUND(J150/F150,2)</f>
        <v>9.76</v>
      </c>
    </row>
    <row r="151" customFormat="false" ht="15" hidden="false" customHeight="false" outlineLevel="0" collapsed="false">
      <c r="A151" s="3" t="n">
        <v>150</v>
      </c>
      <c r="B151" s="3" t="s">
        <v>333</v>
      </c>
      <c r="C151" s="3" t="s">
        <v>334</v>
      </c>
      <c r="D151" s="4" t="s">
        <v>34</v>
      </c>
      <c r="E151" s="5" t="n">
        <v>1498</v>
      </c>
      <c r="F151" s="4" t="n">
        <v>1</v>
      </c>
      <c r="G151" s="5" t="n">
        <v>1269.49</v>
      </c>
      <c r="H151" s="5" t="n">
        <v>1269.49</v>
      </c>
      <c r="I151" s="6" t="n">
        <v>0.2</v>
      </c>
      <c r="J151" s="5" t="n">
        <v>1015.59</v>
      </c>
      <c r="K151" s="6" t="n">
        <v>0.09</v>
      </c>
      <c r="L151" s="5" t="n">
        <v>91.4</v>
      </c>
      <c r="M151" s="6" t="n">
        <v>0.09</v>
      </c>
      <c r="N151" s="5" t="n">
        <v>91.4</v>
      </c>
      <c r="O151" s="5" t="n">
        <f aca="false">J151+L151+N151</f>
        <v>1198.39</v>
      </c>
      <c r="P151" s="5" t="n">
        <f aca="false">ROUND(H151*1.18/F151,2)</f>
        <v>1498</v>
      </c>
      <c r="Q151" s="5" t="n">
        <f aca="false">ROUND(H151*0.8,2)</f>
        <v>1015.59</v>
      </c>
      <c r="R151" s="5" t="n">
        <f aca="false">ROUND(Q151-J151,2)</f>
        <v>0</v>
      </c>
      <c r="S151" s="5" t="n">
        <f aca="false">ROUND(J151*9%,2)</f>
        <v>91.4</v>
      </c>
      <c r="T151" s="5" t="n">
        <f aca="false">ROUND(S151-L151,2)</f>
        <v>0</v>
      </c>
      <c r="U151" s="4" t="n">
        <v>5</v>
      </c>
      <c r="V151" s="4" t="s">
        <v>26</v>
      </c>
      <c r="W151" s="7"/>
      <c r="X151" s="5" t="n">
        <f aca="false">ROUND(J151/F151,2)</f>
        <v>1015.59</v>
      </c>
    </row>
    <row r="152" customFormat="false" ht="15" hidden="false" customHeight="false" outlineLevel="0" collapsed="false">
      <c r="A152" s="3" t="n">
        <v>151</v>
      </c>
      <c r="B152" s="3" t="s">
        <v>335</v>
      </c>
      <c r="C152" s="3" t="s">
        <v>336</v>
      </c>
      <c r="D152" s="4" t="s">
        <v>34</v>
      </c>
      <c r="E152" s="5" t="n">
        <v>1534</v>
      </c>
      <c r="F152" s="4" t="n">
        <v>1</v>
      </c>
      <c r="G152" s="5" t="n">
        <v>1300</v>
      </c>
      <c r="H152" s="5" t="n">
        <v>1300</v>
      </c>
      <c r="I152" s="6" t="n">
        <v>0.2</v>
      </c>
      <c r="J152" s="5" t="n">
        <v>1040</v>
      </c>
      <c r="K152" s="6" t="n">
        <v>0.09</v>
      </c>
      <c r="L152" s="5" t="n">
        <v>93.6</v>
      </c>
      <c r="M152" s="6" t="n">
        <v>0.09</v>
      </c>
      <c r="N152" s="5" t="n">
        <v>93.6</v>
      </c>
      <c r="O152" s="5" t="n">
        <f aca="false">J152+L152+N152</f>
        <v>1227.2</v>
      </c>
      <c r="P152" s="5" t="n">
        <f aca="false">ROUND(H152*1.18/F152,2)</f>
        <v>1534</v>
      </c>
      <c r="Q152" s="5" t="n">
        <f aca="false">ROUND(H152*0.8,2)</f>
        <v>1040</v>
      </c>
      <c r="R152" s="5" t="n">
        <f aca="false">ROUND(Q152-J152,2)</f>
        <v>0</v>
      </c>
      <c r="S152" s="5" t="n">
        <f aca="false">ROUND(J152*9%,2)</f>
        <v>93.6</v>
      </c>
      <c r="T152" s="5" t="n">
        <f aca="false">ROUND(S152-L152,2)</f>
        <v>0</v>
      </c>
      <c r="U152" s="4" t="n">
        <v>5</v>
      </c>
      <c r="V152" s="4" t="s">
        <v>26</v>
      </c>
      <c r="W152" s="7"/>
      <c r="X152" s="5" t="n">
        <f aca="false">ROUND(J152/F152,2)</f>
        <v>1040</v>
      </c>
    </row>
    <row r="153" customFormat="false" ht="15" hidden="false" customHeight="false" outlineLevel="0" collapsed="false">
      <c r="A153" s="3" t="n">
        <v>152</v>
      </c>
      <c r="B153" s="3" t="s">
        <v>337</v>
      </c>
      <c r="C153" s="3" t="s">
        <v>338</v>
      </c>
      <c r="D153" s="4" t="s">
        <v>34</v>
      </c>
      <c r="E153" s="5" t="n">
        <v>1424</v>
      </c>
      <c r="F153" s="4" t="n">
        <v>1</v>
      </c>
      <c r="G153" s="5" t="n">
        <v>1206.78</v>
      </c>
      <c r="H153" s="5" t="n">
        <v>1206.78</v>
      </c>
      <c r="I153" s="6" t="n">
        <v>0.2</v>
      </c>
      <c r="J153" s="5" t="n">
        <v>965.42</v>
      </c>
      <c r="K153" s="6" t="n">
        <v>0.09</v>
      </c>
      <c r="L153" s="5" t="n">
        <v>86.89</v>
      </c>
      <c r="M153" s="6" t="n">
        <v>0.09</v>
      </c>
      <c r="N153" s="5" t="n">
        <v>86.89</v>
      </c>
      <c r="O153" s="5" t="n">
        <f aca="false">J153+L153+N153</f>
        <v>1139.2</v>
      </c>
      <c r="P153" s="5" t="n">
        <f aca="false">ROUND(H153*1.18/F153,2)</f>
        <v>1424</v>
      </c>
      <c r="Q153" s="5" t="n">
        <f aca="false">ROUND(H153*0.8,2)</f>
        <v>965.42</v>
      </c>
      <c r="R153" s="5" t="n">
        <f aca="false">ROUND(Q153-J153,2)</f>
        <v>0</v>
      </c>
      <c r="S153" s="5" t="n">
        <f aca="false">ROUND(J153*9%,2)</f>
        <v>86.89</v>
      </c>
      <c r="T153" s="5" t="n">
        <f aca="false">ROUND(S153-L153,2)</f>
        <v>0</v>
      </c>
      <c r="U153" s="4" t="n">
        <v>5</v>
      </c>
      <c r="V153" s="4" t="s">
        <v>26</v>
      </c>
      <c r="W153" s="7"/>
      <c r="X153" s="5" t="n">
        <f aca="false">ROUND(J153/F153,2)</f>
        <v>965.42</v>
      </c>
    </row>
    <row r="154" customFormat="false" ht="15" hidden="false" customHeight="false" outlineLevel="0" collapsed="false">
      <c r="A154" s="3" t="n">
        <v>153</v>
      </c>
      <c r="B154" s="3" t="s">
        <v>339</v>
      </c>
      <c r="C154" s="3" t="s">
        <v>340</v>
      </c>
      <c r="D154" s="4" t="s">
        <v>34</v>
      </c>
      <c r="E154" s="5" t="n">
        <v>1544</v>
      </c>
      <c r="F154" s="4" t="n">
        <v>1</v>
      </c>
      <c r="G154" s="5" t="n">
        <v>1308.47</v>
      </c>
      <c r="H154" s="5" t="n">
        <v>1308.47</v>
      </c>
      <c r="I154" s="6" t="n">
        <v>0.2</v>
      </c>
      <c r="J154" s="5" t="n">
        <v>1046.78</v>
      </c>
      <c r="K154" s="6" t="n">
        <v>0.09</v>
      </c>
      <c r="L154" s="5" t="n">
        <v>94.21</v>
      </c>
      <c r="M154" s="6" t="n">
        <v>0.09</v>
      </c>
      <c r="N154" s="5" t="n">
        <v>94.21</v>
      </c>
      <c r="O154" s="5" t="n">
        <f aca="false">J154+L154+N154</f>
        <v>1235.2</v>
      </c>
      <c r="P154" s="5" t="n">
        <f aca="false">ROUND(H154*1.18/F154,2)</f>
        <v>1543.99</v>
      </c>
      <c r="Q154" s="5" t="n">
        <f aca="false">ROUND(H154*0.8,2)</f>
        <v>1046.78</v>
      </c>
      <c r="R154" s="5" t="n">
        <f aca="false">ROUND(Q154-J154,2)</f>
        <v>0</v>
      </c>
      <c r="S154" s="5" t="n">
        <f aca="false">ROUND(J154*9%,2)</f>
        <v>94.21</v>
      </c>
      <c r="T154" s="5" t="n">
        <f aca="false">ROUND(S154-L154,2)</f>
        <v>0</v>
      </c>
      <c r="U154" s="4" t="n">
        <v>5</v>
      </c>
      <c r="V154" s="4" t="s">
        <v>26</v>
      </c>
      <c r="W154" s="7"/>
      <c r="X154" s="5" t="n">
        <f aca="false">ROUND(J154/F154,2)</f>
        <v>1046.78</v>
      </c>
    </row>
    <row r="155" customFormat="false" ht="15" hidden="false" customHeight="false" outlineLevel="0" collapsed="false">
      <c r="A155" s="3" t="n">
        <v>154</v>
      </c>
      <c r="B155" s="3" t="s">
        <v>341</v>
      </c>
      <c r="C155" s="3" t="s">
        <v>342</v>
      </c>
      <c r="D155" s="4" t="s">
        <v>34</v>
      </c>
      <c r="E155" s="5" t="n">
        <v>87</v>
      </c>
      <c r="F155" s="4" t="n">
        <v>20</v>
      </c>
      <c r="G155" s="5" t="n">
        <v>73.73</v>
      </c>
      <c r="H155" s="5" t="n">
        <v>1474.58</v>
      </c>
      <c r="I155" s="6" t="n">
        <v>0.2</v>
      </c>
      <c r="J155" s="5" t="n">
        <v>1179.66</v>
      </c>
      <c r="K155" s="6" t="n">
        <v>0.09</v>
      </c>
      <c r="L155" s="5" t="n">
        <v>106.17</v>
      </c>
      <c r="M155" s="6" t="n">
        <v>0.09</v>
      </c>
      <c r="N155" s="5" t="n">
        <v>106.17</v>
      </c>
      <c r="O155" s="5" t="n">
        <f aca="false">J155+L155+N155</f>
        <v>1392</v>
      </c>
      <c r="P155" s="5" t="n">
        <f aca="false">ROUND(H155*1.18/F155,2)</f>
        <v>87</v>
      </c>
      <c r="Q155" s="5" t="n">
        <f aca="false">ROUND(H155*0.8,2)</f>
        <v>1179.66</v>
      </c>
      <c r="R155" s="5" t="n">
        <f aca="false">ROUND(Q155-J155,2)</f>
        <v>0</v>
      </c>
      <c r="S155" s="5" t="n">
        <f aca="false">ROUND(J155*9%,2)</f>
        <v>106.17</v>
      </c>
      <c r="T155" s="5" t="n">
        <f aca="false">ROUND(S155-L155,2)</f>
        <v>0</v>
      </c>
      <c r="U155" s="4" t="n">
        <v>5</v>
      </c>
      <c r="V155" s="4" t="s">
        <v>26</v>
      </c>
      <c r="W155" s="7"/>
      <c r="X155" s="5" t="n">
        <f aca="false">ROUND(J155/F155,2)</f>
        <v>58.98</v>
      </c>
    </row>
    <row r="156" customFormat="false" ht="15" hidden="false" customHeight="false" outlineLevel="0" collapsed="false">
      <c r="A156" s="3" t="n">
        <v>155</v>
      </c>
      <c r="B156" s="3" t="s">
        <v>343</v>
      </c>
      <c r="C156" s="3" t="s">
        <v>344</v>
      </c>
      <c r="D156" s="4" t="s">
        <v>77</v>
      </c>
      <c r="E156" s="5" t="n">
        <v>3</v>
      </c>
      <c r="F156" s="4" t="n">
        <v>60</v>
      </c>
      <c r="G156" s="5" t="n">
        <v>2.54</v>
      </c>
      <c r="H156" s="5" t="n">
        <v>152.54</v>
      </c>
      <c r="I156" s="6" t="n">
        <v>0.2</v>
      </c>
      <c r="J156" s="5" t="n">
        <v>122.03</v>
      </c>
      <c r="K156" s="6" t="n">
        <v>0.09</v>
      </c>
      <c r="L156" s="5" t="n">
        <v>10.98</v>
      </c>
      <c r="M156" s="6" t="n">
        <v>0.09</v>
      </c>
      <c r="N156" s="5" t="n">
        <v>10.98</v>
      </c>
      <c r="O156" s="5" t="n">
        <f aca="false">J156+L156+N156</f>
        <v>143.99</v>
      </c>
      <c r="P156" s="5" t="n">
        <f aca="false">ROUND(H156*1.18/F156,2)</f>
        <v>3</v>
      </c>
      <c r="Q156" s="5" t="n">
        <f aca="false">ROUND(H156*0.8,2)</f>
        <v>122.03</v>
      </c>
      <c r="R156" s="5" t="n">
        <f aca="false">ROUND(Q156-J156,2)</f>
        <v>0</v>
      </c>
      <c r="S156" s="5" t="n">
        <f aca="false">ROUND(J156*9%,2)</f>
        <v>10.98</v>
      </c>
      <c r="T156" s="5" t="n">
        <f aca="false">ROUND(S156-L156,2)</f>
        <v>0</v>
      </c>
      <c r="U156" s="4" t="n">
        <v>5</v>
      </c>
      <c r="V156" s="4" t="s">
        <v>26</v>
      </c>
      <c r="W156" s="7"/>
      <c r="X156" s="5" t="n">
        <f aca="false">ROUND(J156/F156,2)</f>
        <v>2.03</v>
      </c>
    </row>
    <row r="157" customFormat="false" ht="15" hidden="false" customHeight="false" outlineLevel="0" collapsed="false">
      <c r="A157" s="3" t="n">
        <v>156</v>
      </c>
      <c r="B157" s="3" t="s">
        <v>345</v>
      </c>
      <c r="C157" s="3" t="s">
        <v>346</v>
      </c>
      <c r="D157" s="4" t="s">
        <v>347</v>
      </c>
      <c r="E157" s="5" t="n">
        <v>50</v>
      </c>
      <c r="F157" s="4" t="n">
        <v>1</v>
      </c>
      <c r="G157" s="5" t="n">
        <v>42.37</v>
      </c>
      <c r="H157" s="5" t="n">
        <v>42.37</v>
      </c>
      <c r="I157" s="6" t="n">
        <v>0.2</v>
      </c>
      <c r="J157" s="5" t="n">
        <v>33.9</v>
      </c>
      <c r="K157" s="6" t="n">
        <v>0.09</v>
      </c>
      <c r="L157" s="5" t="n">
        <v>3.05</v>
      </c>
      <c r="M157" s="6" t="n">
        <v>0.09</v>
      </c>
      <c r="N157" s="5" t="n">
        <v>3.05</v>
      </c>
      <c r="O157" s="5" t="n">
        <f aca="false">J157+L157+N157</f>
        <v>40</v>
      </c>
      <c r="P157" s="5" t="n">
        <f aca="false">ROUND(H157*1.18/F157,2)</f>
        <v>50</v>
      </c>
      <c r="Q157" s="5" t="n">
        <f aca="false">ROUND(H157*0.8,2)</f>
        <v>33.9</v>
      </c>
      <c r="R157" s="5" t="n">
        <f aca="false">ROUND(Q157-J157,2)</f>
        <v>0</v>
      </c>
      <c r="S157" s="5" t="n">
        <f aca="false">ROUND(J157*9%,2)</f>
        <v>3.05</v>
      </c>
      <c r="T157" s="5" t="n">
        <f aca="false">ROUND(S157-L157,2)</f>
        <v>0</v>
      </c>
      <c r="U157" s="4" t="n">
        <v>5</v>
      </c>
      <c r="V157" s="4" t="s">
        <v>26</v>
      </c>
      <c r="W157" s="7"/>
      <c r="X157" s="5" t="n">
        <f aca="false">ROUND(J157/F157,2)</f>
        <v>33.9</v>
      </c>
    </row>
    <row r="158" customFormat="false" ht="15" hidden="false" customHeight="false" outlineLevel="0" collapsed="false">
      <c r="A158" s="3" t="n">
        <v>157</v>
      </c>
      <c r="B158" s="3" t="s">
        <v>348</v>
      </c>
      <c r="C158" s="3" t="s">
        <v>349</v>
      </c>
      <c r="D158" s="4" t="s">
        <v>34</v>
      </c>
      <c r="E158" s="5" t="n">
        <v>50</v>
      </c>
      <c r="F158" s="4" t="n">
        <v>5</v>
      </c>
      <c r="G158" s="5" t="n">
        <v>42.37</v>
      </c>
      <c r="H158" s="5" t="n">
        <v>211.86</v>
      </c>
      <c r="I158" s="6" t="n">
        <v>0.2</v>
      </c>
      <c r="J158" s="5" t="n">
        <v>169.49</v>
      </c>
      <c r="K158" s="6" t="n">
        <v>0.09</v>
      </c>
      <c r="L158" s="5" t="n">
        <v>15.25</v>
      </c>
      <c r="M158" s="6" t="n">
        <v>0.09</v>
      </c>
      <c r="N158" s="5" t="n">
        <v>15.25</v>
      </c>
      <c r="O158" s="5" t="n">
        <f aca="false">J158+L158+N158</f>
        <v>199.99</v>
      </c>
      <c r="P158" s="5" t="n">
        <f aca="false">ROUND(H158*1.18/F158,2)</f>
        <v>50</v>
      </c>
      <c r="Q158" s="5" t="n">
        <f aca="false">ROUND(H158*0.8,2)</f>
        <v>169.49</v>
      </c>
      <c r="R158" s="5" t="n">
        <f aca="false">ROUND(Q158-J158,2)</f>
        <v>0</v>
      </c>
      <c r="S158" s="5" t="n">
        <f aca="false">ROUND(J158*9%,2)</f>
        <v>15.25</v>
      </c>
      <c r="T158" s="5" t="n">
        <f aca="false">ROUND(S158-L158,2)</f>
        <v>0</v>
      </c>
      <c r="U158" s="4" t="n">
        <v>5</v>
      </c>
      <c r="V158" s="4" t="s">
        <v>26</v>
      </c>
      <c r="W158" s="7"/>
      <c r="X158" s="5" t="n">
        <f aca="false">ROUND(J158/F158,2)</f>
        <v>33.9</v>
      </c>
    </row>
    <row r="159" customFormat="false" ht="15" hidden="false" customHeight="false" outlineLevel="0" collapsed="false">
      <c r="A159" s="3" t="n">
        <v>158</v>
      </c>
      <c r="B159" s="3" t="s">
        <v>350</v>
      </c>
      <c r="C159" s="3" t="s">
        <v>351</v>
      </c>
      <c r="D159" s="4" t="s">
        <v>34</v>
      </c>
      <c r="E159" s="5" t="n">
        <v>152</v>
      </c>
      <c r="F159" s="4" t="n">
        <v>3</v>
      </c>
      <c r="G159" s="5" t="n">
        <v>128.81</v>
      </c>
      <c r="H159" s="5" t="n">
        <v>386.44</v>
      </c>
      <c r="I159" s="6" t="n">
        <v>0.2</v>
      </c>
      <c r="J159" s="5" t="n">
        <v>309.15</v>
      </c>
      <c r="K159" s="6" t="n">
        <v>0.09</v>
      </c>
      <c r="L159" s="5" t="n">
        <v>27.82</v>
      </c>
      <c r="M159" s="6" t="n">
        <v>0.09</v>
      </c>
      <c r="N159" s="5" t="n">
        <v>27.82</v>
      </c>
      <c r="O159" s="5" t="n">
        <f aca="false">J159+L159+N159</f>
        <v>364.79</v>
      </c>
      <c r="P159" s="5" t="n">
        <f aca="false">ROUND(H159*1.18/F159,2)</f>
        <v>152</v>
      </c>
      <c r="Q159" s="5" t="n">
        <f aca="false">ROUND(H159*0.8,2)</f>
        <v>309.15</v>
      </c>
      <c r="R159" s="5" t="n">
        <f aca="false">ROUND(Q159-J159,2)</f>
        <v>0</v>
      </c>
      <c r="S159" s="5" t="n">
        <f aca="false">ROUND(J159*9%,2)</f>
        <v>27.82</v>
      </c>
      <c r="T159" s="5" t="n">
        <f aca="false">ROUND(S159-L159,2)</f>
        <v>0</v>
      </c>
      <c r="U159" s="4" t="n">
        <v>5</v>
      </c>
      <c r="V159" s="4" t="s">
        <v>26</v>
      </c>
      <c r="W159" s="7"/>
      <c r="X159" s="5" t="n">
        <f aca="false">ROUND(J159/F159,2)</f>
        <v>103.05</v>
      </c>
    </row>
    <row r="160" customFormat="false" ht="15" hidden="false" customHeight="false" outlineLevel="0" collapsed="false">
      <c r="A160" s="3" t="n">
        <v>159</v>
      </c>
      <c r="B160" s="3" t="s">
        <v>352</v>
      </c>
      <c r="C160" s="3" t="s">
        <v>353</v>
      </c>
      <c r="D160" s="4" t="s">
        <v>326</v>
      </c>
      <c r="E160" s="5" t="n">
        <v>75</v>
      </c>
      <c r="F160" s="4" t="n">
        <v>20</v>
      </c>
      <c r="G160" s="5" t="n">
        <v>63.56</v>
      </c>
      <c r="H160" s="5" t="n">
        <v>1271.19</v>
      </c>
      <c r="I160" s="6" t="n">
        <v>0.2</v>
      </c>
      <c r="J160" s="5" t="n">
        <v>1016.95</v>
      </c>
      <c r="K160" s="6" t="n">
        <v>0.09</v>
      </c>
      <c r="L160" s="5" t="n">
        <v>91.53</v>
      </c>
      <c r="M160" s="6" t="n">
        <v>0.09</v>
      </c>
      <c r="N160" s="5" t="n">
        <v>91.53</v>
      </c>
      <c r="O160" s="5" t="n">
        <f aca="false">J160+L160+N160</f>
        <v>1200.01</v>
      </c>
      <c r="P160" s="5" t="n">
        <f aca="false">ROUND(H160*1.18/F160,2)</f>
        <v>75</v>
      </c>
      <c r="Q160" s="5" t="n">
        <f aca="false">ROUND(H160*0.8,2)</f>
        <v>1016.95</v>
      </c>
      <c r="R160" s="5" t="n">
        <f aca="false">ROUND(Q160-J160,2)</f>
        <v>0</v>
      </c>
      <c r="S160" s="5" t="n">
        <f aca="false">ROUND(J160*9%,2)</f>
        <v>91.53</v>
      </c>
      <c r="T160" s="5" t="n">
        <f aca="false">ROUND(S160-L160,2)</f>
        <v>0</v>
      </c>
      <c r="U160" s="4" t="n">
        <v>5</v>
      </c>
      <c r="V160" s="4" t="s">
        <v>26</v>
      </c>
      <c r="W160" s="7"/>
      <c r="X160" s="5" t="n">
        <f aca="false">ROUND(J160/F160,2)</f>
        <v>50.85</v>
      </c>
    </row>
    <row r="161" customFormat="false" ht="15" hidden="false" customHeight="false" outlineLevel="0" collapsed="false">
      <c r="A161" s="3" t="n">
        <v>160</v>
      </c>
      <c r="B161" s="3" t="s">
        <v>354</v>
      </c>
      <c r="C161" s="3" t="s">
        <v>355</v>
      </c>
      <c r="D161" s="4" t="s">
        <v>34</v>
      </c>
      <c r="E161" s="5" t="n">
        <v>24</v>
      </c>
      <c r="F161" s="4" t="n">
        <v>10</v>
      </c>
      <c r="G161" s="5" t="n">
        <v>20</v>
      </c>
      <c r="H161" s="5" t="n">
        <v>200</v>
      </c>
      <c r="I161" s="6" t="n">
        <v>0.2</v>
      </c>
      <c r="J161" s="5" t="n">
        <v>160</v>
      </c>
      <c r="K161" s="6" t="n">
        <v>0.09</v>
      </c>
      <c r="L161" s="5" t="n">
        <v>14.4</v>
      </c>
      <c r="M161" s="6" t="n">
        <v>0.09</v>
      </c>
      <c r="N161" s="5" t="n">
        <v>14.4</v>
      </c>
      <c r="O161" s="5" t="n">
        <f aca="false">J161+L161+N161</f>
        <v>188.8</v>
      </c>
      <c r="P161" s="5" t="n">
        <f aca="false">ROUND(H161*1.18/F161,2)</f>
        <v>23.6</v>
      </c>
      <c r="Q161" s="5" t="n">
        <f aca="false">ROUND(H161*0.8,2)</f>
        <v>160</v>
      </c>
      <c r="R161" s="5" t="n">
        <f aca="false">ROUND(Q161-J161,2)</f>
        <v>0</v>
      </c>
      <c r="S161" s="5" t="n">
        <f aca="false">ROUND(J161*9%,2)</f>
        <v>14.4</v>
      </c>
      <c r="T161" s="5" t="n">
        <f aca="false">ROUND(S161-L161,2)</f>
        <v>0</v>
      </c>
      <c r="U161" s="4" t="n">
        <v>5</v>
      </c>
      <c r="V161" s="4" t="s">
        <v>26</v>
      </c>
      <c r="W161" s="7"/>
      <c r="X161" s="5" t="n">
        <f aca="false">ROUND(J161/F161,2)</f>
        <v>16</v>
      </c>
    </row>
    <row r="162" customFormat="false" ht="15" hidden="false" customHeight="false" outlineLevel="0" collapsed="false">
      <c r="A162" s="3" t="n">
        <v>161</v>
      </c>
      <c r="B162" s="3" t="s">
        <v>356</v>
      </c>
      <c r="C162" s="3" t="s">
        <v>357</v>
      </c>
      <c r="D162" s="4" t="s">
        <v>358</v>
      </c>
      <c r="E162" s="5" t="n">
        <v>11</v>
      </c>
      <c r="F162" s="4" t="n">
        <v>20</v>
      </c>
      <c r="G162" s="5" t="n">
        <v>9.32</v>
      </c>
      <c r="H162" s="5" t="n">
        <v>186.44</v>
      </c>
      <c r="I162" s="6" t="n">
        <v>0.2</v>
      </c>
      <c r="J162" s="5" t="n">
        <v>149.15</v>
      </c>
      <c r="K162" s="6" t="n">
        <v>0.09</v>
      </c>
      <c r="L162" s="5" t="n">
        <v>13.42</v>
      </c>
      <c r="M162" s="6" t="n">
        <v>0.09</v>
      </c>
      <c r="N162" s="5" t="n">
        <v>13.42</v>
      </c>
      <c r="O162" s="5" t="n">
        <f aca="false">J162+L162+N162</f>
        <v>175.99</v>
      </c>
      <c r="P162" s="5" t="n">
        <f aca="false">ROUND(H162*1.18/F162,2)</f>
        <v>11</v>
      </c>
      <c r="Q162" s="5" t="n">
        <f aca="false">ROUND(H162*0.8,2)</f>
        <v>149.15</v>
      </c>
      <c r="R162" s="5" t="n">
        <f aca="false">ROUND(Q162-J162,2)</f>
        <v>0</v>
      </c>
      <c r="S162" s="5" t="n">
        <f aca="false">ROUND(J162*9%,2)</f>
        <v>13.42</v>
      </c>
      <c r="T162" s="5" t="n">
        <f aca="false">ROUND(S162-L162,2)</f>
        <v>0</v>
      </c>
      <c r="U162" s="4" t="n">
        <v>5</v>
      </c>
      <c r="V162" s="4" t="s">
        <v>26</v>
      </c>
      <c r="W162" s="7"/>
      <c r="X162" s="5" t="n">
        <f aca="false">ROUND(J162/F162,2)</f>
        <v>7.46</v>
      </c>
    </row>
    <row r="163" customFormat="false" ht="15" hidden="false" customHeight="false" outlineLevel="0" collapsed="false">
      <c r="A163" s="3" t="n">
        <v>162</v>
      </c>
      <c r="B163" s="3" t="s">
        <v>359</v>
      </c>
      <c r="C163" s="3" t="s">
        <v>360</v>
      </c>
      <c r="D163" s="4" t="s">
        <v>358</v>
      </c>
      <c r="E163" s="5" t="n">
        <v>46</v>
      </c>
      <c r="F163" s="4" t="n">
        <v>5</v>
      </c>
      <c r="G163" s="5" t="n">
        <v>38.98</v>
      </c>
      <c r="H163" s="5" t="n">
        <v>194.92</v>
      </c>
      <c r="I163" s="6" t="n">
        <v>0.2</v>
      </c>
      <c r="J163" s="5" t="n">
        <v>155.93</v>
      </c>
      <c r="K163" s="6" t="n">
        <v>0.09</v>
      </c>
      <c r="L163" s="5" t="n">
        <v>14.03</v>
      </c>
      <c r="M163" s="6" t="n">
        <v>0.09</v>
      </c>
      <c r="N163" s="5" t="n">
        <v>14.03</v>
      </c>
      <c r="O163" s="5" t="n">
        <f aca="false">J163+L163+N163</f>
        <v>183.99</v>
      </c>
      <c r="P163" s="5" t="n">
        <f aca="false">ROUND(H163*1.18/F163,2)</f>
        <v>46</v>
      </c>
      <c r="Q163" s="5" t="n">
        <f aca="false">ROUND(H163*0.8,2)</f>
        <v>155.94</v>
      </c>
      <c r="R163" s="5" t="n">
        <f aca="false">ROUND(Q163-J163,2)</f>
        <v>0.01</v>
      </c>
      <c r="S163" s="5" t="n">
        <f aca="false">ROUND(J163*9%,2)</f>
        <v>14.03</v>
      </c>
      <c r="T163" s="5" t="n">
        <f aca="false">ROUND(S163-L163,2)</f>
        <v>0</v>
      </c>
      <c r="U163" s="4" t="n">
        <v>5</v>
      </c>
      <c r="V163" s="4" t="s">
        <v>26</v>
      </c>
      <c r="W163" s="7"/>
      <c r="X163" s="5" t="n">
        <f aca="false">ROUND(J163/F163,2)</f>
        <v>31.19</v>
      </c>
    </row>
    <row r="164" customFormat="false" ht="15" hidden="false" customHeight="false" outlineLevel="0" collapsed="false">
      <c r="A164" s="3" t="n">
        <v>163</v>
      </c>
      <c r="B164" s="3" t="s">
        <v>361</v>
      </c>
      <c r="C164" s="3" t="s">
        <v>362</v>
      </c>
      <c r="D164" s="4" t="s">
        <v>363</v>
      </c>
      <c r="E164" s="5" t="n">
        <v>11</v>
      </c>
      <c r="F164" s="4" t="n">
        <v>20</v>
      </c>
      <c r="G164" s="5" t="n">
        <v>9.32</v>
      </c>
      <c r="H164" s="5" t="n">
        <v>186.44</v>
      </c>
      <c r="I164" s="6" t="n">
        <v>0.2</v>
      </c>
      <c r="J164" s="5" t="n">
        <v>149.15</v>
      </c>
      <c r="K164" s="6" t="n">
        <v>0.09</v>
      </c>
      <c r="L164" s="5" t="n">
        <v>13.42</v>
      </c>
      <c r="M164" s="6" t="n">
        <v>0.09</v>
      </c>
      <c r="N164" s="5" t="n">
        <v>13.42</v>
      </c>
      <c r="O164" s="5" t="n">
        <f aca="false">J164+L164+N164</f>
        <v>175.99</v>
      </c>
      <c r="P164" s="5" t="n">
        <f aca="false">ROUND(H164*1.18/F164,2)</f>
        <v>11</v>
      </c>
      <c r="Q164" s="5" t="n">
        <f aca="false">ROUND(H164*0.8,2)</f>
        <v>149.15</v>
      </c>
      <c r="R164" s="5" t="n">
        <f aca="false">ROUND(Q164-J164,2)</f>
        <v>0</v>
      </c>
      <c r="S164" s="5" t="n">
        <f aca="false">ROUND(J164*9%,2)</f>
        <v>13.42</v>
      </c>
      <c r="T164" s="5" t="n">
        <f aca="false">ROUND(S164-L164,2)</f>
        <v>0</v>
      </c>
      <c r="U164" s="4" t="n">
        <v>5</v>
      </c>
      <c r="V164" s="4" t="s">
        <v>26</v>
      </c>
      <c r="W164" s="7"/>
      <c r="X164" s="5" t="n">
        <f aca="false">ROUND(J164/F164,2)</f>
        <v>7.46</v>
      </c>
    </row>
    <row r="165" customFormat="false" ht="15" hidden="false" customHeight="false" outlineLevel="0" collapsed="false">
      <c r="A165" s="3" t="n">
        <v>164</v>
      </c>
      <c r="B165" s="3" t="s">
        <v>364</v>
      </c>
      <c r="C165" s="3" t="s">
        <v>365</v>
      </c>
      <c r="D165" s="4" t="s">
        <v>363</v>
      </c>
      <c r="E165" s="5" t="n">
        <v>13</v>
      </c>
      <c r="F165" s="4" t="n">
        <v>10</v>
      </c>
      <c r="G165" s="5" t="n">
        <v>11.02</v>
      </c>
      <c r="H165" s="5" t="n">
        <v>110.17</v>
      </c>
      <c r="I165" s="6" t="n">
        <v>0.2</v>
      </c>
      <c r="J165" s="5" t="n">
        <v>88.14</v>
      </c>
      <c r="K165" s="6" t="n">
        <v>0.09</v>
      </c>
      <c r="L165" s="5" t="n">
        <v>7.93</v>
      </c>
      <c r="M165" s="6" t="n">
        <v>0.09</v>
      </c>
      <c r="N165" s="5" t="n">
        <v>7.93</v>
      </c>
      <c r="O165" s="5" t="n">
        <f aca="false">J165+L165+N165</f>
        <v>104</v>
      </c>
      <c r="P165" s="5" t="n">
        <f aca="false">ROUND(H165*1.18/F165,2)</f>
        <v>13</v>
      </c>
      <c r="Q165" s="5" t="n">
        <f aca="false">ROUND(H165*0.8,2)</f>
        <v>88.14</v>
      </c>
      <c r="R165" s="5" t="n">
        <f aca="false">ROUND(Q165-J165,2)</f>
        <v>0</v>
      </c>
      <c r="S165" s="5" t="n">
        <f aca="false">ROUND(J165*9%,2)</f>
        <v>7.93</v>
      </c>
      <c r="T165" s="5" t="n">
        <f aca="false">ROUND(S165-L165,2)</f>
        <v>0</v>
      </c>
      <c r="U165" s="4" t="n">
        <v>5</v>
      </c>
      <c r="V165" s="4" t="s">
        <v>26</v>
      </c>
      <c r="W165" s="7"/>
      <c r="X165" s="5" t="n">
        <f aca="false">ROUND(J165/F165,2)</f>
        <v>8.81</v>
      </c>
    </row>
    <row r="166" customFormat="false" ht="15" hidden="false" customHeight="false" outlineLevel="0" collapsed="false">
      <c r="A166" s="3" t="n">
        <v>165</v>
      </c>
      <c r="B166" s="3" t="s">
        <v>366</v>
      </c>
      <c r="C166" s="3" t="s">
        <v>367</v>
      </c>
      <c r="D166" s="4" t="s">
        <v>363</v>
      </c>
      <c r="E166" s="5" t="n">
        <v>30</v>
      </c>
      <c r="F166" s="4" t="n">
        <v>10</v>
      </c>
      <c r="G166" s="5" t="n">
        <v>25.42</v>
      </c>
      <c r="H166" s="5" t="n">
        <v>254.24</v>
      </c>
      <c r="I166" s="6" t="n">
        <v>0.2</v>
      </c>
      <c r="J166" s="5" t="n">
        <v>203.39</v>
      </c>
      <c r="K166" s="6" t="n">
        <v>0.09</v>
      </c>
      <c r="L166" s="5" t="n">
        <v>18.31</v>
      </c>
      <c r="M166" s="6" t="n">
        <v>0.09</v>
      </c>
      <c r="N166" s="5" t="n">
        <v>18.31</v>
      </c>
      <c r="O166" s="5" t="n">
        <f aca="false">J166+L166+N166</f>
        <v>240.01</v>
      </c>
      <c r="P166" s="5" t="n">
        <f aca="false">ROUND(H166*1.18/F166,2)</f>
        <v>30</v>
      </c>
      <c r="Q166" s="5" t="n">
        <f aca="false">ROUND(H166*0.8,2)</f>
        <v>203.39</v>
      </c>
      <c r="R166" s="5" t="n">
        <f aca="false">ROUND(Q166-J166,2)</f>
        <v>0</v>
      </c>
      <c r="S166" s="5" t="n">
        <f aca="false">ROUND(J166*9%,2)</f>
        <v>18.31</v>
      </c>
      <c r="T166" s="5" t="n">
        <f aca="false">ROUND(S166-L166,2)</f>
        <v>0</v>
      </c>
      <c r="U166" s="4" t="n">
        <v>5</v>
      </c>
      <c r="V166" s="4" t="s">
        <v>26</v>
      </c>
      <c r="W166" s="7"/>
      <c r="X166" s="5" t="n">
        <f aca="false">ROUND(J166/F166,2)</f>
        <v>20.34</v>
      </c>
    </row>
    <row r="167" customFormat="false" ht="15" hidden="false" customHeight="false" outlineLevel="0" collapsed="false">
      <c r="A167" s="3" t="n">
        <v>166</v>
      </c>
      <c r="B167" s="3" t="s">
        <v>368</v>
      </c>
      <c r="C167" s="3" t="s">
        <v>369</v>
      </c>
      <c r="D167" s="4" t="s">
        <v>370</v>
      </c>
      <c r="E167" s="5" t="n">
        <v>155</v>
      </c>
      <c r="F167" s="4" t="n">
        <v>3</v>
      </c>
      <c r="G167" s="5" t="n">
        <v>131.36</v>
      </c>
      <c r="H167" s="5" t="n">
        <v>394.07</v>
      </c>
      <c r="I167" s="6" t="n">
        <v>0.2</v>
      </c>
      <c r="J167" s="5" t="n">
        <v>315.25</v>
      </c>
      <c r="K167" s="6" t="n">
        <v>0.09</v>
      </c>
      <c r="L167" s="5" t="n">
        <v>28.37</v>
      </c>
      <c r="M167" s="6" t="n">
        <v>0.09</v>
      </c>
      <c r="N167" s="5" t="n">
        <v>28.37</v>
      </c>
      <c r="O167" s="5" t="n">
        <f aca="false">J167+L167+N167</f>
        <v>371.99</v>
      </c>
      <c r="P167" s="5" t="n">
        <f aca="false">ROUND(H167*1.18/F167,2)</f>
        <v>155</v>
      </c>
      <c r="Q167" s="5" t="n">
        <f aca="false">ROUND(H167*0.8,2)</f>
        <v>315.26</v>
      </c>
      <c r="R167" s="5" t="n">
        <f aca="false">ROUND(Q167-J167,2)</f>
        <v>0.01</v>
      </c>
      <c r="S167" s="5" t="n">
        <f aca="false">ROUND(J167*9%,2)</f>
        <v>28.37</v>
      </c>
      <c r="T167" s="5" t="n">
        <f aca="false">ROUND(S167-L167,2)</f>
        <v>0</v>
      </c>
      <c r="U167" s="4" t="n">
        <v>5</v>
      </c>
      <c r="V167" s="4" t="s">
        <v>26</v>
      </c>
      <c r="W167" s="7"/>
      <c r="X167" s="5" t="n">
        <f aca="false">ROUND(J167/F167,2)</f>
        <v>105.08</v>
      </c>
    </row>
    <row r="168" customFormat="false" ht="15" hidden="false" customHeight="false" outlineLevel="0" collapsed="false">
      <c r="A168" s="3" t="n">
        <v>167</v>
      </c>
      <c r="B168" s="3" t="s">
        <v>371</v>
      </c>
      <c r="C168" s="3" t="s">
        <v>372</v>
      </c>
      <c r="D168" s="4" t="s">
        <v>370</v>
      </c>
      <c r="E168" s="5" t="n">
        <v>180</v>
      </c>
      <c r="F168" s="4" t="n">
        <v>20</v>
      </c>
      <c r="G168" s="5" t="n">
        <v>152.54</v>
      </c>
      <c r="H168" s="5" t="n">
        <v>3050.85</v>
      </c>
      <c r="I168" s="6" t="n">
        <v>0.2</v>
      </c>
      <c r="J168" s="5" t="n">
        <v>2440.68</v>
      </c>
      <c r="K168" s="6" t="n">
        <v>0.09</v>
      </c>
      <c r="L168" s="5" t="n">
        <v>219.66</v>
      </c>
      <c r="M168" s="6" t="n">
        <v>0.09</v>
      </c>
      <c r="N168" s="5" t="n">
        <v>219.66</v>
      </c>
      <c r="O168" s="5" t="n">
        <f aca="false">J168+L168+N168</f>
        <v>2880</v>
      </c>
      <c r="P168" s="5" t="n">
        <f aca="false">ROUND(H168*1.18/F168,2)</f>
        <v>180</v>
      </c>
      <c r="Q168" s="5" t="n">
        <f aca="false">ROUND(H168*0.8,2)</f>
        <v>2440.68</v>
      </c>
      <c r="R168" s="5" t="n">
        <f aca="false">ROUND(Q168-J168,2)</f>
        <v>0</v>
      </c>
      <c r="S168" s="5" t="n">
        <f aca="false">ROUND(J168*9%,2)</f>
        <v>219.66</v>
      </c>
      <c r="T168" s="5" t="n">
        <f aca="false">ROUND(S168-L168,2)</f>
        <v>0</v>
      </c>
      <c r="U168" s="4" t="n">
        <v>6</v>
      </c>
      <c r="V168" s="4" t="s">
        <v>26</v>
      </c>
      <c r="W168" s="7"/>
      <c r="X168" s="5" t="n">
        <f aca="false">ROUND(J168/F168,2)</f>
        <v>122.03</v>
      </c>
    </row>
    <row r="169" customFormat="false" ht="15" hidden="false" customHeight="false" outlineLevel="0" collapsed="false">
      <c r="A169" s="3" t="n">
        <v>168</v>
      </c>
      <c r="B169" s="3" t="s">
        <v>373</v>
      </c>
      <c r="C169" s="3" t="s">
        <v>374</v>
      </c>
      <c r="D169" s="4" t="s">
        <v>370</v>
      </c>
      <c r="E169" s="5" t="n">
        <v>410</v>
      </c>
      <c r="F169" s="4" t="n">
        <v>10</v>
      </c>
      <c r="G169" s="5" t="n">
        <v>347.46</v>
      </c>
      <c r="H169" s="5" t="n">
        <v>3474.58</v>
      </c>
      <c r="I169" s="6" t="n">
        <v>0.2</v>
      </c>
      <c r="J169" s="5" t="n">
        <v>2779.66</v>
      </c>
      <c r="K169" s="6" t="n">
        <v>0.09</v>
      </c>
      <c r="L169" s="5" t="n">
        <v>250.17</v>
      </c>
      <c r="M169" s="6" t="n">
        <v>0.09</v>
      </c>
      <c r="N169" s="5" t="n">
        <v>250.17</v>
      </c>
      <c r="O169" s="5" t="n">
        <f aca="false">J169+L169+N169</f>
        <v>3280</v>
      </c>
      <c r="P169" s="5" t="n">
        <f aca="false">ROUND(H169*1.18/F169,2)</f>
        <v>410</v>
      </c>
      <c r="Q169" s="5" t="n">
        <f aca="false">ROUND(H169*0.8,2)</f>
        <v>2779.66</v>
      </c>
      <c r="R169" s="5" t="n">
        <f aca="false">ROUND(Q169-J169,2)</f>
        <v>0</v>
      </c>
      <c r="S169" s="5" t="n">
        <f aca="false">ROUND(J169*9%,2)</f>
        <v>250.17</v>
      </c>
      <c r="T169" s="5" t="n">
        <f aca="false">ROUND(S169-L169,2)</f>
        <v>0</v>
      </c>
      <c r="U169" s="4" t="n">
        <v>6</v>
      </c>
      <c r="V169" s="4" t="s">
        <v>26</v>
      </c>
      <c r="W169" s="7"/>
      <c r="X169" s="5" t="n">
        <f aca="false">ROUND(J169/F169,2)</f>
        <v>277.97</v>
      </c>
    </row>
    <row r="170" customFormat="false" ht="15" hidden="false" customHeight="false" outlineLevel="0" collapsed="false">
      <c r="A170" s="3" t="n">
        <v>169</v>
      </c>
      <c r="B170" s="3" t="s">
        <v>375</v>
      </c>
      <c r="C170" s="3" t="s">
        <v>376</v>
      </c>
      <c r="D170" s="4" t="s">
        <v>377</v>
      </c>
      <c r="E170" s="5" t="n">
        <v>462</v>
      </c>
      <c r="F170" s="4" t="n">
        <v>3</v>
      </c>
      <c r="G170" s="5" t="n">
        <v>391.53</v>
      </c>
      <c r="H170" s="5" t="n">
        <v>1174.58</v>
      </c>
      <c r="I170" s="6" t="n">
        <v>0.2</v>
      </c>
      <c r="J170" s="5" t="n">
        <v>939.66</v>
      </c>
      <c r="K170" s="6" t="n">
        <v>0.09</v>
      </c>
      <c r="L170" s="5" t="n">
        <v>84.57</v>
      </c>
      <c r="M170" s="6" t="n">
        <v>0.09</v>
      </c>
      <c r="N170" s="5" t="n">
        <v>84.57</v>
      </c>
      <c r="O170" s="5" t="n">
        <f aca="false">J170+L170+N170</f>
        <v>1108.8</v>
      </c>
      <c r="P170" s="5" t="n">
        <f aca="false">ROUND(H170*1.18/F170,2)</f>
        <v>462</v>
      </c>
      <c r="Q170" s="5" t="n">
        <f aca="false">ROUND(H170*0.8,2)</f>
        <v>939.66</v>
      </c>
      <c r="R170" s="5" t="n">
        <f aca="false">ROUND(Q170-J170,2)</f>
        <v>0</v>
      </c>
      <c r="S170" s="5" t="n">
        <f aca="false">ROUND(J170*9%,2)</f>
        <v>84.57</v>
      </c>
      <c r="T170" s="5" t="n">
        <f aca="false">ROUND(S170-L170,2)</f>
        <v>0</v>
      </c>
      <c r="U170" s="4" t="n">
        <v>6</v>
      </c>
      <c r="V170" s="4" t="s">
        <v>26</v>
      </c>
      <c r="W170" s="7"/>
      <c r="X170" s="5" t="n">
        <f aca="false">ROUND(J170/F170,2)</f>
        <v>313.22</v>
      </c>
    </row>
    <row r="171" customFormat="false" ht="15" hidden="false" customHeight="false" outlineLevel="0" collapsed="false">
      <c r="A171" s="3" t="n">
        <v>170</v>
      </c>
      <c r="B171" s="3" t="s">
        <v>378</v>
      </c>
      <c r="C171" s="3" t="s">
        <v>379</v>
      </c>
      <c r="D171" s="4" t="s">
        <v>380</v>
      </c>
      <c r="E171" s="5" t="n">
        <v>160</v>
      </c>
      <c r="F171" s="4" t="n">
        <v>3</v>
      </c>
      <c r="G171" s="5" t="n">
        <v>135.59</v>
      </c>
      <c r="H171" s="5" t="n">
        <v>406.78</v>
      </c>
      <c r="I171" s="6" t="n">
        <v>0.2</v>
      </c>
      <c r="J171" s="5" t="n">
        <v>325.42</v>
      </c>
      <c r="K171" s="6" t="n">
        <v>0.09</v>
      </c>
      <c r="L171" s="5" t="n">
        <v>29.29</v>
      </c>
      <c r="M171" s="6" t="n">
        <v>0.09</v>
      </c>
      <c r="N171" s="5" t="n">
        <v>29.29</v>
      </c>
      <c r="O171" s="5" t="n">
        <f aca="false">J171+L171+N171</f>
        <v>384</v>
      </c>
      <c r="P171" s="5" t="n">
        <f aca="false">ROUND(H171*1.18/F171,2)</f>
        <v>160</v>
      </c>
      <c r="Q171" s="5" t="n">
        <f aca="false">ROUND(H171*0.8,2)</f>
        <v>325.42</v>
      </c>
      <c r="R171" s="5" t="n">
        <f aca="false">ROUND(Q171-J171,2)</f>
        <v>0</v>
      </c>
      <c r="S171" s="5" t="n">
        <f aca="false">ROUND(J171*9%,2)</f>
        <v>29.29</v>
      </c>
      <c r="T171" s="5" t="n">
        <f aca="false">ROUND(S171-L171,2)</f>
        <v>0</v>
      </c>
      <c r="U171" s="4" t="n">
        <v>6</v>
      </c>
      <c r="V171" s="4" t="s">
        <v>26</v>
      </c>
      <c r="W171" s="7"/>
      <c r="X171" s="5" t="n">
        <f aca="false">ROUND(J171/F171,2)</f>
        <v>108.47</v>
      </c>
    </row>
    <row r="172" customFormat="false" ht="15" hidden="false" customHeight="false" outlineLevel="0" collapsed="false">
      <c r="A172" s="3" t="n">
        <v>171</v>
      </c>
      <c r="B172" s="3" t="s">
        <v>381</v>
      </c>
      <c r="C172" s="3" t="s">
        <v>382</v>
      </c>
      <c r="D172" s="4" t="s">
        <v>370</v>
      </c>
      <c r="E172" s="5" t="n">
        <v>254</v>
      </c>
      <c r="F172" s="4" t="n">
        <v>5</v>
      </c>
      <c r="G172" s="5" t="n">
        <v>215.25</v>
      </c>
      <c r="H172" s="5" t="n">
        <v>1076.27</v>
      </c>
      <c r="I172" s="6" t="n">
        <v>0.2</v>
      </c>
      <c r="J172" s="5" t="n">
        <v>861.02</v>
      </c>
      <c r="K172" s="6" t="n">
        <v>0.09</v>
      </c>
      <c r="L172" s="5" t="n">
        <v>77.49</v>
      </c>
      <c r="M172" s="6" t="n">
        <v>0.09</v>
      </c>
      <c r="N172" s="5" t="n">
        <v>77.49</v>
      </c>
      <c r="O172" s="5" t="n">
        <f aca="false">J172+L172+N172</f>
        <v>1016</v>
      </c>
      <c r="P172" s="5" t="n">
        <f aca="false">ROUND(H172*1.18/F172,2)</f>
        <v>254</v>
      </c>
      <c r="Q172" s="5" t="n">
        <f aca="false">ROUND(H172*0.8,2)</f>
        <v>861.02</v>
      </c>
      <c r="R172" s="5" t="n">
        <f aca="false">ROUND(Q172-J172,2)</f>
        <v>0</v>
      </c>
      <c r="S172" s="5" t="n">
        <f aca="false">ROUND(J172*9%,2)</f>
        <v>77.49</v>
      </c>
      <c r="T172" s="5" t="n">
        <f aca="false">ROUND(S172-L172,2)</f>
        <v>0</v>
      </c>
      <c r="U172" s="4" t="n">
        <v>6</v>
      </c>
      <c r="V172" s="4" t="s">
        <v>26</v>
      </c>
      <c r="W172" s="7"/>
      <c r="X172" s="5" t="n">
        <f aca="false">ROUND(J172/F172,2)</f>
        <v>172.2</v>
      </c>
    </row>
    <row r="173" customFormat="false" ht="15" hidden="false" customHeight="false" outlineLevel="0" collapsed="false">
      <c r="A173" s="3" t="n">
        <v>172</v>
      </c>
      <c r="B173" s="3" t="s">
        <v>383</v>
      </c>
      <c r="C173" s="3" t="s">
        <v>384</v>
      </c>
      <c r="D173" s="4" t="s">
        <v>370</v>
      </c>
      <c r="E173" s="5" t="n">
        <v>190</v>
      </c>
      <c r="F173" s="4" t="n">
        <v>10</v>
      </c>
      <c r="G173" s="5" t="n">
        <v>161.02</v>
      </c>
      <c r="H173" s="5" t="n">
        <v>1610.17</v>
      </c>
      <c r="I173" s="6" t="n">
        <v>0.2</v>
      </c>
      <c r="J173" s="5" t="n">
        <v>1288.14</v>
      </c>
      <c r="K173" s="6" t="n">
        <v>0.09</v>
      </c>
      <c r="L173" s="5" t="n">
        <v>115.93</v>
      </c>
      <c r="M173" s="6" t="n">
        <v>0.09</v>
      </c>
      <c r="N173" s="5" t="n">
        <v>115.93</v>
      </c>
      <c r="O173" s="5" t="n">
        <f aca="false">J173+L173+N173</f>
        <v>1520</v>
      </c>
      <c r="P173" s="5" t="n">
        <f aca="false">ROUND(H173*1.18/F173,2)</f>
        <v>190</v>
      </c>
      <c r="Q173" s="5" t="n">
        <f aca="false">ROUND(H173*0.8,2)</f>
        <v>1288.14</v>
      </c>
      <c r="R173" s="5" t="n">
        <f aca="false">ROUND(Q173-J173,2)</f>
        <v>0</v>
      </c>
      <c r="S173" s="5" t="n">
        <f aca="false">ROUND(J173*9%,2)</f>
        <v>115.93</v>
      </c>
      <c r="T173" s="5" t="n">
        <f aca="false">ROUND(S173-L173,2)</f>
        <v>0</v>
      </c>
      <c r="U173" s="4" t="n">
        <v>6</v>
      </c>
      <c r="V173" s="4" t="s">
        <v>26</v>
      </c>
      <c r="W173" s="7"/>
      <c r="X173" s="5" t="n">
        <f aca="false">ROUND(J173/F173,2)</f>
        <v>128.81</v>
      </c>
    </row>
    <row r="174" customFormat="false" ht="15" hidden="false" customHeight="false" outlineLevel="0" collapsed="false">
      <c r="A174" s="3" t="n">
        <v>173</v>
      </c>
      <c r="B174" s="3" t="s">
        <v>385</v>
      </c>
      <c r="C174" s="3" t="s">
        <v>386</v>
      </c>
      <c r="D174" s="4" t="s">
        <v>387</v>
      </c>
      <c r="E174" s="5" t="n">
        <v>138</v>
      </c>
      <c r="F174" s="4" t="n">
        <v>5</v>
      </c>
      <c r="G174" s="5" t="n">
        <v>116.95</v>
      </c>
      <c r="H174" s="5" t="n">
        <v>584.75</v>
      </c>
      <c r="I174" s="6" t="n">
        <v>0.2</v>
      </c>
      <c r="J174" s="5" t="n">
        <v>467.8</v>
      </c>
      <c r="K174" s="6" t="n">
        <v>0.09</v>
      </c>
      <c r="L174" s="5" t="n">
        <v>42.1</v>
      </c>
      <c r="M174" s="6" t="n">
        <v>0.09</v>
      </c>
      <c r="N174" s="5" t="n">
        <v>42.1</v>
      </c>
      <c r="O174" s="5" t="n">
        <f aca="false">J174+L174+N174</f>
        <v>552</v>
      </c>
      <c r="P174" s="5" t="n">
        <f aca="false">ROUND(H174*1.18/F174,2)</f>
        <v>138</v>
      </c>
      <c r="Q174" s="5" t="n">
        <f aca="false">ROUND(H174*0.8,2)</f>
        <v>467.8</v>
      </c>
      <c r="R174" s="5" t="n">
        <f aca="false">ROUND(Q174-J174,2)</f>
        <v>0</v>
      </c>
      <c r="S174" s="5" t="n">
        <f aca="false">ROUND(J174*9%,2)</f>
        <v>42.1</v>
      </c>
      <c r="T174" s="5" t="n">
        <f aca="false">ROUND(S174-L174,2)</f>
        <v>0</v>
      </c>
      <c r="U174" s="4" t="n">
        <v>6</v>
      </c>
      <c r="V174" s="4" t="s">
        <v>26</v>
      </c>
      <c r="W174" s="7"/>
      <c r="X174" s="5" t="n">
        <f aca="false">ROUND(J174/F174,2)</f>
        <v>93.56</v>
      </c>
    </row>
    <row r="175" customFormat="false" ht="15" hidden="false" customHeight="false" outlineLevel="0" collapsed="false">
      <c r="A175" s="3" t="n">
        <v>174</v>
      </c>
      <c r="B175" s="3" t="s">
        <v>388</v>
      </c>
      <c r="C175" s="3" t="s">
        <v>389</v>
      </c>
      <c r="D175" s="4" t="s">
        <v>380</v>
      </c>
      <c r="E175" s="5" t="n">
        <v>98</v>
      </c>
      <c r="F175" s="4" t="n">
        <v>20</v>
      </c>
      <c r="G175" s="5" t="n">
        <v>83.05</v>
      </c>
      <c r="H175" s="5" t="n">
        <v>1661.02</v>
      </c>
      <c r="I175" s="6" t="n">
        <v>0.2</v>
      </c>
      <c r="J175" s="5" t="n">
        <v>1328.81</v>
      </c>
      <c r="K175" s="6" t="n">
        <v>0.09</v>
      </c>
      <c r="L175" s="5" t="n">
        <v>119.59</v>
      </c>
      <c r="M175" s="6" t="n">
        <v>0.09</v>
      </c>
      <c r="N175" s="5" t="n">
        <v>119.59</v>
      </c>
      <c r="O175" s="5" t="n">
        <f aca="false">J175+L175+N175</f>
        <v>1567.99</v>
      </c>
      <c r="P175" s="5" t="n">
        <f aca="false">ROUND(H175*1.18/F175,2)</f>
        <v>98</v>
      </c>
      <c r="Q175" s="5" t="n">
        <f aca="false">ROUND(H175*0.8,2)</f>
        <v>1328.82</v>
      </c>
      <c r="R175" s="5" t="n">
        <f aca="false">ROUND(Q175-J175,2)</f>
        <v>0.01</v>
      </c>
      <c r="S175" s="5" t="n">
        <f aca="false">ROUND(J175*9%,2)</f>
        <v>119.59</v>
      </c>
      <c r="T175" s="5" t="n">
        <f aca="false">ROUND(S175-L175,2)</f>
        <v>0</v>
      </c>
      <c r="U175" s="4" t="n">
        <v>6</v>
      </c>
      <c r="V175" s="4" t="s">
        <v>26</v>
      </c>
      <c r="W175" s="7"/>
      <c r="X175" s="5" t="n">
        <f aca="false">ROUND(J175/F175,2)</f>
        <v>66.44</v>
      </c>
    </row>
    <row r="176" customFormat="false" ht="15" hidden="false" customHeight="false" outlineLevel="0" collapsed="false">
      <c r="A176" s="3" t="n">
        <v>175</v>
      </c>
      <c r="B176" s="3" t="s">
        <v>390</v>
      </c>
      <c r="C176" s="3" t="s">
        <v>391</v>
      </c>
      <c r="D176" s="4" t="s">
        <v>392</v>
      </c>
      <c r="E176" s="5" t="n">
        <v>50</v>
      </c>
      <c r="F176" s="4" t="n">
        <v>10</v>
      </c>
      <c r="G176" s="5" t="n">
        <v>42.37</v>
      </c>
      <c r="H176" s="5" t="n">
        <v>423.73</v>
      </c>
      <c r="I176" s="6" t="n">
        <v>0.2</v>
      </c>
      <c r="J176" s="5" t="n">
        <v>338.98</v>
      </c>
      <c r="K176" s="6" t="n">
        <v>0.09</v>
      </c>
      <c r="L176" s="5" t="n">
        <v>30.51</v>
      </c>
      <c r="M176" s="6" t="n">
        <v>0.09</v>
      </c>
      <c r="N176" s="5" t="n">
        <v>30.51</v>
      </c>
      <c r="O176" s="5" t="n">
        <f aca="false">J176+L176+N176</f>
        <v>400</v>
      </c>
      <c r="P176" s="5" t="n">
        <f aca="false">ROUND(H176*1.18/F176,2)</f>
        <v>50</v>
      </c>
      <c r="Q176" s="5" t="n">
        <f aca="false">ROUND(H176*0.8,2)</f>
        <v>338.98</v>
      </c>
      <c r="R176" s="5" t="n">
        <f aca="false">ROUND(Q176-J176,2)</f>
        <v>0</v>
      </c>
      <c r="S176" s="5" t="n">
        <f aca="false">ROUND(J176*9%,2)</f>
        <v>30.51</v>
      </c>
      <c r="T176" s="5" t="n">
        <f aca="false">ROUND(S176-L176,2)</f>
        <v>0</v>
      </c>
      <c r="U176" s="4" t="n">
        <v>6</v>
      </c>
      <c r="V176" s="4" t="s">
        <v>26</v>
      </c>
      <c r="W176" s="7"/>
      <c r="X176" s="5" t="n">
        <f aca="false">ROUND(J176/F176,2)</f>
        <v>33.9</v>
      </c>
    </row>
    <row r="177" customFormat="false" ht="15" hidden="false" customHeight="false" outlineLevel="0" collapsed="false">
      <c r="A177" s="3" t="n">
        <v>176</v>
      </c>
      <c r="B177" s="3" t="s">
        <v>393</v>
      </c>
      <c r="C177" s="3" t="s">
        <v>394</v>
      </c>
      <c r="D177" s="4" t="s">
        <v>392</v>
      </c>
      <c r="E177" s="5" t="n">
        <v>20</v>
      </c>
      <c r="F177" s="4" t="n">
        <v>30</v>
      </c>
      <c r="G177" s="5" t="n">
        <v>16.95</v>
      </c>
      <c r="H177" s="5" t="n">
        <v>508.47</v>
      </c>
      <c r="I177" s="6" t="n">
        <v>0.2</v>
      </c>
      <c r="J177" s="5" t="n">
        <v>406.78</v>
      </c>
      <c r="K177" s="6" t="n">
        <v>0.09</v>
      </c>
      <c r="L177" s="5" t="n">
        <v>36.61</v>
      </c>
      <c r="M177" s="6" t="n">
        <v>0.09</v>
      </c>
      <c r="N177" s="5" t="n">
        <v>36.61</v>
      </c>
      <c r="O177" s="5" t="n">
        <f aca="false">J177+L177+N177</f>
        <v>480</v>
      </c>
      <c r="P177" s="5" t="n">
        <f aca="false">ROUND(H177*1.18/F177,2)</f>
        <v>20</v>
      </c>
      <c r="Q177" s="5" t="n">
        <f aca="false">ROUND(H177*0.8,2)</f>
        <v>406.78</v>
      </c>
      <c r="R177" s="5" t="n">
        <f aca="false">ROUND(Q177-J177,2)</f>
        <v>0</v>
      </c>
      <c r="S177" s="5" t="n">
        <f aca="false">ROUND(J177*9%,2)</f>
        <v>36.61</v>
      </c>
      <c r="T177" s="5" t="n">
        <f aca="false">ROUND(S177-L177,2)</f>
        <v>0</v>
      </c>
      <c r="U177" s="4" t="n">
        <v>6</v>
      </c>
      <c r="V177" s="4" t="s">
        <v>26</v>
      </c>
      <c r="W177" s="7"/>
      <c r="X177" s="5" t="n">
        <f aca="false">ROUND(J177/F177,2)</f>
        <v>13.56</v>
      </c>
    </row>
    <row r="178" customFormat="false" ht="15" hidden="false" customHeight="false" outlineLevel="0" collapsed="false">
      <c r="A178" s="3" t="n">
        <v>177</v>
      </c>
      <c r="B178" s="3" t="s">
        <v>395</v>
      </c>
      <c r="C178" s="3" t="s">
        <v>396</v>
      </c>
      <c r="D178" s="4" t="s">
        <v>392</v>
      </c>
      <c r="E178" s="5" t="n">
        <v>24</v>
      </c>
      <c r="F178" s="4" t="n">
        <v>5</v>
      </c>
      <c r="G178" s="5" t="n">
        <v>20.34</v>
      </c>
      <c r="H178" s="5" t="n">
        <v>101.69</v>
      </c>
      <c r="I178" s="6" t="n">
        <v>0.2</v>
      </c>
      <c r="J178" s="5" t="n">
        <v>81.36</v>
      </c>
      <c r="K178" s="6" t="n">
        <v>0.09</v>
      </c>
      <c r="L178" s="5" t="n">
        <v>7.32</v>
      </c>
      <c r="M178" s="6" t="n">
        <v>0.09</v>
      </c>
      <c r="N178" s="5" t="n">
        <v>7.32</v>
      </c>
      <c r="O178" s="5" t="n">
        <f aca="false">J178+L178+N178</f>
        <v>96</v>
      </c>
      <c r="P178" s="5" t="n">
        <f aca="false">ROUND(H178*1.18/F178,2)</f>
        <v>24</v>
      </c>
      <c r="Q178" s="5" t="n">
        <f aca="false">ROUND(H178*0.8,2)</f>
        <v>81.35</v>
      </c>
      <c r="R178" s="5" t="n">
        <f aca="false">ROUND(Q178-J178,2)</f>
        <v>-0.01</v>
      </c>
      <c r="S178" s="5" t="n">
        <f aca="false">ROUND(J178*9%,2)</f>
        <v>7.32</v>
      </c>
      <c r="T178" s="5" t="n">
        <f aca="false">ROUND(S178-L178,2)</f>
        <v>0</v>
      </c>
      <c r="U178" s="4" t="n">
        <v>6</v>
      </c>
      <c r="V178" s="4" t="s">
        <v>26</v>
      </c>
      <c r="W178" s="7"/>
      <c r="X178" s="5" t="n">
        <f aca="false">ROUND(J178/F178,2)</f>
        <v>16.27</v>
      </c>
    </row>
    <row r="179" customFormat="false" ht="15" hidden="false" customHeight="false" outlineLevel="0" collapsed="false">
      <c r="A179" s="3" t="n">
        <v>178</v>
      </c>
      <c r="B179" s="3" t="s">
        <v>397</v>
      </c>
      <c r="C179" s="3" t="s">
        <v>398</v>
      </c>
      <c r="D179" s="4" t="s">
        <v>392</v>
      </c>
      <c r="E179" s="5" t="n">
        <v>42</v>
      </c>
      <c r="F179" s="4" t="n">
        <v>5</v>
      </c>
      <c r="G179" s="5" t="n">
        <v>35.59</v>
      </c>
      <c r="H179" s="5" t="n">
        <v>177.97</v>
      </c>
      <c r="I179" s="6" t="n">
        <v>0.2</v>
      </c>
      <c r="J179" s="5" t="n">
        <v>142.37</v>
      </c>
      <c r="K179" s="6" t="n">
        <v>0.09</v>
      </c>
      <c r="L179" s="5" t="n">
        <v>12.81</v>
      </c>
      <c r="M179" s="6" t="n">
        <v>0.09</v>
      </c>
      <c r="N179" s="5" t="n">
        <v>12.81</v>
      </c>
      <c r="O179" s="5" t="n">
        <f aca="false">J179+L179+N179</f>
        <v>167.99</v>
      </c>
      <c r="P179" s="5" t="n">
        <f aca="false">ROUND(H179*1.18/F179,2)</f>
        <v>42</v>
      </c>
      <c r="Q179" s="5" t="n">
        <f aca="false">ROUND(H179*0.8,2)</f>
        <v>142.38</v>
      </c>
      <c r="R179" s="5" t="n">
        <f aca="false">ROUND(Q179-J179,2)</f>
        <v>0.01</v>
      </c>
      <c r="S179" s="5" t="n">
        <f aca="false">ROUND(J179*9%,2)</f>
        <v>12.81</v>
      </c>
      <c r="T179" s="5" t="n">
        <f aca="false">ROUND(S179-L179,2)</f>
        <v>0</v>
      </c>
      <c r="U179" s="4" t="n">
        <v>6</v>
      </c>
      <c r="V179" s="4" t="s">
        <v>26</v>
      </c>
      <c r="W179" s="7"/>
      <c r="X179" s="5" t="n">
        <f aca="false">ROUND(J179/F179,2)</f>
        <v>28.47</v>
      </c>
    </row>
    <row r="180" customFormat="false" ht="15" hidden="false" customHeight="false" outlineLevel="0" collapsed="false">
      <c r="A180" s="3" t="n">
        <v>179</v>
      </c>
      <c r="B180" s="3" t="s">
        <v>399</v>
      </c>
      <c r="C180" s="3" t="s">
        <v>400</v>
      </c>
      <c r="D180" s="4" t="s">
        <v>392</v>
      </c>
      <c r="E180" s="5" t="n">
        <v>25</v>
      </c>
      <c r="F180" s="4" t="n">
        <v>10</v>
      </c>
      <c r="G180" s="5" t="n">
        <v>21.19</v>
      </c>
      <c r="H180" s="5" t="n">
        <v>211.86</v>
      </c>
      <c r="I180" s="6" t="n">
        <v>0.2</v>
      </c>
      <c r="J180" s="5" t="n">
        <v>169.49</v>
      </c>
      <c r="K180" s="6" t="n">
        <v>0.09</v>
      </c>
      <c r="L180" s="5" t="n">
        <v>15.25</v>
      </c>
      <c r="M180" s="6" t="n">
        <v>0.09</v>
      </c>
      <c r="N180" s="5" t="n">
        <v>15.25</v>
      </c>
      <c r="O180" s="5" t="n">
        <f aca="false">J180+L180+N180</f>
        <v>199.99</v>
      </c>
      <c r="P180" s="5" t="n">
        <f aca="false">ROUND(H180*1.18/F180,2)</f>
        <v>25</v>
      </c>
      <c r="Q180" s="5" t="n">
        <f aca="false">ROUND(H180*0.8,2)</f>
        <v>169.49</v>
      </c>
      <c r="R180" s="5" t="n">
        <f aca="false">ROUND(Q180-J180,2)</f>
        <v>0</v>
      </c>
      <c r="S180" s="5" t="n">
        <f aca="false">ROUND(J180*9%,2)</f>
        <v>15.25</v>
      </c>
      <c r="T180" s="5" t="n">
        <f aca="false">ROUND(S180-L180,2)</f>
        <v>0</v>
      </c>
      <c r="U180" s="4" t="n">
        <v>6</v>
      </c>
      <c r="V180" s="4" t="s">
        <v>26</v>
      </c>
      <c r="W180" s="7"/>
      <c r="X180" s="5" t="n">
        <f aca="false">ROUND(J180/F180,2)</f>
        <v>16.95</v>
      </c>
    </row>
    <row r="181" customFormat="false" ht="15" hidden="false" customHeight="false" outlineLevel="0" collapsed="false">
      <c r="A181" s="3" t="n">
        <v>180</v>
      </c>
      <c r="B181" s="3" t="s">
        <v>401</v>
      </c>
      <c r="C181" s="3" t="s">
        <v>402</v>
      </c>
      <c r="D181" s="4" t="s">
        <v>392</v>
      </c>
      <c r="E181" s="5" t="n">
        <v>115</v>
      </c>
      <c r="F181" s="4" t="n">
        <v>4</v>
      </c>
      <c r="G181" s="5" t="n">
        <v>97.46</v>
      </c>
      <c r="H181" s="5" t="n">
        <v>389.83</v>
      </c>
      <c r="I181" s="6" t="n">
        <v>0.2</v>
      </c>
      <c r="J181" s="5" t="n">
        <v>311.86</v>
      </c>
      <c r="K181" s="6" t="n">
        <v>0.09</v>
      </c>
      <c r="L181" s="5" t="n">
        <v>28.07</v>
      </c>
      <c r="M181" s="6" t="n">
        <v>0.09</v>
      </c>
      <c r="N181" s="5" t="n">
        <v>28.07</v>
      </c>
      <c r="O181" s="5" t="n">
        <f aca="false">J181+L181+N181</f>
        <v>368</v>
      </c>
      <c r="P181" s="5" t="n">
        <f aca="false">ROUND(H181*1.18/F181,2)</f>
        <v>115</v>
      </c>
      <c r="Q181" s="5" t="n">
        <f aca="false">ROUND(H181*0.8,2)</f>
        <v>311.86</v>
      </c>
      <c r="R181" s="5" t="n">
        <f aca="false">ROUND(Q181-J181,2)</f>
        <v>0</v>
      </c>
      <c r="S181" s="5" t="n">
        <f aca="false">ROUND(J181*9%,2)</f>
        <v>28.07</v>
      </c>
      <c r="T181" s="5" t="n">
        <f aca="false">ROUND(S181-L181,2)</f>
        <v>0</v>
      </c>
      <c r="U181" s="4" t="n">
        <v>6</v>
      </c>
      <c r="V181" s="4" t="s">
        <v>26</v>
      </c>
      <c r="W181" s="7"/>
      <c r="X181" s="5" t="n">
        <f aca="false">ROUND(J181/F181,2)</f>
        <v>77.97</v>
      </c>
    </row>
    <row r="182" customFormat="false" ht="15" hidden="false" customHeight="false" outlineLevel="0" collapsed="false">
      <c r="A182" s="3" t="n">
        <v>181</v>
      </c>
      <c r="B182" s="3" t="s">
        <v>403</v>
      </c>
      <c r="C182" s="3" t="s">
        <v>404</v>
      </c>
      <c r="D182" s="4" t="s">
        <v>405</v>
      </c>
      <c r="E182" s="5" t="n">
        <v>6</v>
      </c>
      <c r="F182" s="4" t="n">
        <v>60</v>
      </c>
      <c r="G182" s="5" t="n">
        <v>5.08</v>
      </c>
      <c r="H182" s="5" t="n">
        <v>305.08</v>
      </c>
      <c r="I182" s="6" t="n">
        <v>0.2</v>
      </c>
      <c r="J182" s="5" t="n">
        <v>244.07</v>
      </c>
      <c r="K182" s="6" t="n">
        <v>0.09</v>
      </c>
      <c r="L182" s="5" t="n">
        <v>21.97</v>
      </c>
      <c r="M182" s="6" t="n">
        <v>0.09</v>
      </c>
      <c r="N182" s="5" t="n">
        <v>21.97</v>
      </c>
      <c r="O182" s="5" t="n">
        <f aca="false">J182+L182+N182</f>
        <v>288.01</v>
      </c>
      <c r="P182" s="5" t="n">
        <f aca="false">ROUND(H182*1.18/F182,2)</f>
        <v>6</v>
      </c>
      <c r="Q182" s="5" t="n">
        <f aca="false">ROUND(H182*0.8,2)</f>
        <v>244.06</v>
      </c>
      <c r="R182" s="5" t="n">
        <f aca="false">ROUND(Q182-J182,2)</f>
        <v>-0.01</v>
      </c>
      <c r="S182" s="5" t="n">
        <f aca="false">ROUND(J182*9%,2)</f>
        <v>21.97</v>
      </c>
      <c r="T182" s="5" t="n">
        <f aca="false">ROUND(S182-L182,2)</f>
        <v>0</v>
      </c>
      <c r="U182" s="4" t="n">
        <v>6</v>
      </c>
      <c r="V182" s="4" t="s">
        <v>26</v>
      </c>
      <c r="W182" s="7"/>
      <c r="X182" s="5" t="n">
        <f aca="false">ROUND(J182/F182,2)</f>
        <v>4.07</v>
      </c>
    </row>
    <row r="183" customFormat="false" ht="15" hidden="false" customHeight="false" outlineLevel="0" collapsed="false">
      <c r="A183" s="3" t="n">
        <v>182</v>
      </c>
      <c r="B183" s="3" t="s">
        <v>406</v>
      </c>
      <c r="C183" s="3" t="s">
        <v>407</v>
      </c>
      <c r="D183" s="4" t="s">
        <v>358</v>
      </c>
      <c r="E183" s="5" t="n">
        <v>5</v>
      </c>
      <c r="F183" s="4" t="n">
        <v>40</v>
      </c>
      <c r="G183" s="5" t="n">
        <v>4.24</v>
      </c>
      <c r="H183" s="5" t="n">
        <v>169.49</v>
      </c>
      <c r="I183" s="6" t="n">
        <v>0.2</v>
      </c>
      <c r="J183" s="5" t="n">
        <v>135.59</v>
      </c>
      <c r="K183" s="6" t="n">
        <v>0.09</v>
      </c>
      <c r="L183" s="5" t="n">
        <v>12.2</v>
      </c>
      <c r="M183" s="6" t="n">
        <v>0.09</v>
      </c>
      <c r="N183" s="5" t="n">
        <v>12.2</v>
      </c>
      <c r="O183" s="5" t="n">
        <f aca="false">J183+L183+N183</f>
        <v>159.99</v>
      </c>
      <c r="P183" s="5" t="n">
        <f aca="false">ROUND(H183*1.18/F183,2)</f>
        <v>5</v>
      </c>
      <c r="Q183" s="5" t="n">
        <f aca="false">ROUND(H183*0.8,2)</f>
        <v>135.59</v>
      </c>
      <c r="R183" s="5" t="n">
        <f aca="false">ROUND(Q183-J183,2)</f>
        <v>0</v>
      </c>
      <c r="S183" s="5" t="n">
        <f aca="false">ROUND(J183*9%,2)</f>
        <v>12.2</v>
      </c>
      <c r="T183" s="5" t="n">
        <f aca="false">ROUND(S183-L183,2)</f>
        <v>0</v>
      </c>
      <c r="U183" s="4" t="n">
        <v>6</v>
      </c>
      <c r="V183" s="4" t="s">
        <v>26</v>
      </c>
      <c r="W183" s="7"/>
      <c r="X183" s="5" t="n">
        <f aca="false">ROUND(J183/F183,2)</f>
        <v>3.39</v>
      </c>
    </row>
    <row r="184" customFormat="false" ht="15" hidden="false" customHeight="false" outlineLevel="0" collapsed="false">
      <c r="A184" s="3" t="n">
        <v>183</v>
      </c>
      <c r="B184" s="3" t="s">
        <v>408</v>
      </c>
      <c r="C184" s="3" t="s">
        <v>409</v>
      </c>
      <c r="D184" s="4" t="s">
        <v>358</v>
      </c>
      <c r="E184" s="5" t="n">
        <v>6</v>
      </c>
      <c r="F184" s="4" t="n">
        <v>20</v>
      </c>
      <c r="G184" s="5" t="n">
        <v>5.08</v>
      </c>
      <c r="H184" s="5" t="n">
        <v>101.69</v>
      </c>
      <c r="I184" s="6" t="n">
        <v>0.2</v>
      </c>
      <c r="J184" s="5" t="n">
        <v>81.36</v>
      </c>
      <c r="K184" s="6" t="n">
        <v>0.09</v>
      </c>
      <c r="L184" s="5" t="n">
        <v>7.32</v>
      </c>
      <c r="M184" s="6" t="n">
        <v>0.09</v>
      </c>
      <c r="N184" s="5" t="n">
        <v>7.32</v>
      </c>
      <c r="O184" s="5" t="n">
        <f aca="false">J184+L184+N184</f>
        <v>96</v>
      </c>
      <c r="P184" s="5" t="n">
        <f aca="false">ROUND(H184*1.18/F184,2)</f>
        <v>6</v>
      </c>
      <c r="Q184" s="5" t="n">
        <f aca="false">ROUND(H184*0.8,2)</f>
        <v>81.35</v>
      </c>
      <c r="R184" s="5" t="n">
        <f aca="false">ROUND(Q184-J184,2)</f>
        <v>-0.01</v>
      </c>
      <c r="S184" s="5" t="n">
        <f aca="false">ROUND(J184*9%,2)</f>
        <v>7.32</v>
      </c>
      <c r="T184" s="5" t="n">
        <f aca="false">ROUND(S184-L184,2)</f>
        <v>0</v>
      </c>
      <c r="U184" s="4" t="n">
        <v>6</v>
      </c>
      <c r="V184" s="4" t="s">
        <v>26</v>
      </c>
      <c r="W184" s="7"/>
      <c r="X184" s="5" t="n">
        <f aca="false">ROUND(J184/F184,2)</f>
        <v>4.07</v>
      </c>
    </row>
    <row r="185" customFormat="false" ht="15" hidden="false" customHeight="false" outlineLevel="0" collapsed="false">
      <c r="A185" s="3" t="n">
        <v>184</v>
      </c>
      <c r="B185" s="3" t="s">
        <v>410</v>
      </c>
      <c r="C185" s="3" t="s">
        <v>411</v>
      </c>
      <c r="D185" s="4" t="s">
        <v>387</v>
      </c>
      <c r="E185" s="5" t="n">
        <v>95</v>
      </c>
      <c r="F185" s="4" t="n">
        <v>20</v>
      </c>
      <c r="G185" s="5" t="n">
        <v>80.51</v>
      </c>
      <c r="H185" s="5" t="n">
        <v>1610.17</v>
      </c>
      <c r="I185" s="6" t="n">
        <v>0.2</v>
      </c>
      <c r="J185" s="5" t="n">
        <v>1288.14</v>
      </c>
      <c r="K185" s="6" t="n">
        <v>0.09</v>
      </c>
      <c r="L185" s="5" t="n">
        <v>115.93</v>
      </c>
      <c r="M185" s="6" t="n">
        <v>0.09</v>
      </c>
      <c r="N185" s="5" t="n">
        <v>115.93</v>
      </c>
      <c r="O185" s="5" t="n">
        <f aca="false">J185+L185+N185</f>
        <v>1520</v>
      </c>
      <c r="P185" s="5" t="n">
        <f aca="false">ROUND(H185*1.18/F185,2)</f>
        <v>95</v>
      </c>
      <c r="Q185" s="5" t="n">
        <f aca="false">ROUND(H185*0.8,2)</f>
        <v>1288.14</v>
      </c>
      <c r="R185" s="5" t="n">
        <f aca="false">ROUND(Q185-J185,2)</f>
        <v>0</v>
      </c>
      <c r="S185" s="5" t="n">
        <f aca="false">ROUND(J185*9%,2)</f>
        <v>115.93</v>
      </c>
      <c r="T185" s="5" t="n">
        <f aca="false">ROUND(S185-L185,2)</f>
        <v>0</v>
      </c>
      <c r="U185" s="4" t="n">
        <v>6</v>
      </c>
      <c r="V185" s="4" t="s">
        <v>26</v>
      </c>
      <c r="W185" s="7"/>
      <c r="X185" s="5" t="n">
        <f aca="false">ROUND(J185/F185,2)</f>
        <v>64.41</v>
      </c>
    </row>
    <row r="186" customFormat="false" ht="15" hidden="false" customHeight="false" outlineLevel="0" collapsed="false">
      <c r="A186" s="3" t="n">
        <v>185</v>
      </c>
      <c r="B186" s="3" t="s">
        <v>412</v>
      </c>
      <c r="C186" s="3" t="s">
        <v>413</v>
      </c>
      <c r="D186" s="4" t="s">
        <v>387</v>
      </c>
      <c r="E186" s="5" t="n">
        <v>82</v>
      </c>
      <c r="F186" s="4" t="n">
        <v>20</v>
      </c>
      <c r="G186" s="5" t="n">
        <v>69.49</v>
      </c>
      <c r="H186" s="5" t="n">
        <v>1389.83</v>
      </c>
      <c r="I186" s="6" t="n">
        <v>0.2</v>
      </c>
      <c r="J186" s="5" t="n">
        <v>1111.86</v>
      </c>
      <c r="K186" s="6" t="n">
        <v>0.09</v>
      </c>
      <c r="L186" s="5" t="n">
        <v>100.07</v>
      </c>
      <c r="M186" s="6" t="n">
        <v>0.09</v>
      </c>
      <c r="N186" s="5" t="n">
        <v>100.07</v>
      </c>
      <c r="O186" s="5" t="n">
        <f aca="false">J186+L186+N186</f>
        <v>1312</v>
      </c>
      <c r="P186" s="5" t="n">
        <f aca="false">ROUND(H186*1.18/F186,2)</f>
        <v>82</v>
      </c>
      <c r="Q186" s="5" t="n">
        <f aca="false">ROUND(H186*0.8,2)</f>
        <v>1111.86</v>
      </c>
      <c r="R186" s="5" t="n">
        <f aca="false">ROUND(Q186-J186,2)</f>
        <v>0</v>
      </c>
      <c r="S186" s="5" t="n">
        <f aca="false">ROUND(J186*9%,2)</f>
        <v>100.07</v>
      </c>
      <c r="T186" s="5" t="n">
        <f aca="false">ROUND(S186-L186,2)</f>
        <v>0</v>
      </c>
      <c r="U186" s="4" t="n">
        <v>6</v>
      </c>
      <c r="V186" s="4" t="s">
        <v>26</v>
      </c>
      <c r="W186" s="7"/>
      <c r="X186" s="5" t="n">
        <f aca="false">ROUND(J186/F186,2)</f>
        <v>55.59</v>
      </c>
    </row>
    <row r="187" customFormat="false" ht="15" hidden="false" customHeight="false" outlineLevel="0" collapsed="false">
      <c r="A187" s="3" t="n">
        <v>186</v>
      </c>
      <c r="B187" s="3" t="s">
        <v>414</v>
      </c>
      <c r="C187" s="3" t="s">
        <v>415</v>
      </c>
      <c r="D187" s="4" t="s">
        <v>387</v>
      </c>
      <c r="E187" s="5" t="n">
        <v>105</v>
      </c>
      <c r="F187" s="4" t="n">
        <v>40</v>
      </c>
      <c r="G187" s="5" t="n">
        <v>88.98</v>
      </c>
      <c r="H187" s="5" t="n">
        <v>3559.32</v>
      </c>
      <c r="I187" s="6" t="n">
        <v>0.2</v>
      </c>
      <c r="J187" s="5" t="n">
        <v>2847.46</v>
      </c>
      <c r="K187" s="6" t="n">
        <v>0.09</v>
      </c>
      <c r="L187" s="5" t="n">
        <v>256.27</v>
      </c>
      <c r="M187" s="6" t="n">
        <v>0.09</v>
      </c>
      <c r="N187" s="5" t="n">
        <v>256.27</v>
      </c>
      <c r="O187" s="5" t="n">
        <f aca="false">J187+L187+N187</f>
        <v>3360</v>
      </c>
      <c r="P187" s="5" t="n">
        <f aca="false">ROUND(H187*1.18/F187,2)</f>
        <v>105</v>
      </c>
      <c r="Q187" s="5" t="n">
        <f aca="false">ROUND(H187*0.8,2)</f>
        <v>2847.46</v>
      </c>
      <c r="R187" s="5" t="n">
        <f aca="false">ROUND(Q187-J187,2)</f>
        <v>0</v>
      </c>
      <c r="S187" s="5" t="n">
        <f aca="false">ROUND(J187*9%,2)</f>
        <v>256.27</v>
      </c>
      <c r="T187" s="5" t="n">
        <f aca="false">ROUND(S187-L187,2)</f>
        <v>0</v>
      </c>
      <c r="U187" s="4" t="n">
        <v>6</v>
      </c>
      <c r="V187" s="4" t="s">
        <v>26</v>
      </c>
      <c r="W187" s="7"/>
      <c r="X187" s="5" t="n">
        <f aca="false">ROUND(J187/F187,2)</f>
        <v>71.19</v>
      </c>
    </row>
    <row r="188" customFormat="false" ht="15" hidden="false" customHeight="false" outlineLevel="0" collapsed="false">
      <c r="A188" s="3" t="n">
        <v>187</v>
      </c>
      <c r="B188" s="3" t="s">
        <v>416</v>
      </c>
      <c r="C188" s="3" t="s">
        <v>417</v>
      </c>
      <c r="D188" s="4" t="s">
        <v>387</v>
      </c>
      <c r="E188" s="5" t="n">
        <v>105</v>
      </c>
      <c r="F188" s="4" t="n">
        <v>50</v>
      </c>
      <c r="G188" s="5" t="n">
        <v>88.98</v>
      </c>
      <c r="H188" s="5" t="n">
        <v>4449.15</v>
      </c>
      <c r="I188" s="6" t="n">
        <v>0.2</v>
      </c>
      <c r="J188" s="5" t="n">
        <v>3559.32</v>
      </c>
      <c r="K188" s="6" t="n">
        <v>0.09</v>
      </c>
      <c r="L188" s="5" t="n">
        <v>320.34</v>
      </c>
      <c r="M188" s="6" t="n">
        <v>0.09</v>
      </c>
      <c r="N188" s="5" t="n">
        <v>320.34</v>
      </c>
      <c r="O188" s="5" t="n">
        <f aca="false">J188+L188+N188</f>
        <v>4200</v>
      </c>
      <c r="P188" s="5" t="n">
        <f aca="false">ROUND(H188*1.18/F188,2)</f>
        <v>105</v>
      </c>
      <c r="Q188" s="5" t="n">
        <f aca="false">ROUND(H188*0.8,2)</f>
        <v>3559.32</v>
      </c>
      <c r="R188" s="5" t="n">
        <f aca="false">ROUND(Q188-J188,2)</f>
        <v>0</v>
      </c>
      <c r="S188" s="5" t="n">
        <f aca="false">ROUND(J188*9%,2)</f>
        <v>320.34</v>
      </c>
      <c r="T188" s="5" t="n">
        <f aca="false">ROUND(S188-L188,2)</f>
        <v>0</v>
      </c>
      <c r="U188" s="4" t="n">
        <v>6</v>
      </c>
      <c r="V188" s="4" t="s">
        <v>26</v>
      </c>
      <c r="W188" s="7"/>
      <c r="X188" s="5" t="n">
        <f aca="false">ROUND(J188/F188,2)</f>
        <v>71.19</v>
      </c>
    </row>
    <row r="189" customFormat="false" ht="15" hidden="false" customHeight="false" outlineLevel="0" collapsed="false">
      <c r="A189" s="3" t="n">
        <v>188</v>
      </c>
      <c r="B189" s="3" t="s">
        <v>418</v>
      </c>
      <c r="C189" s="3" t="s">
        <v>419</v>
      </c>
      <c r="D189" s="4" t="s">
        <v>31</v>
      </c>
      <c r="E189" s="5" t="n">
        <v>11</v>
      </c>
      <c r="F189" s="4" t="n">
        <v>20</v>
      </c>
      <c r="G189" s="5" t="n">
        <v>9.32</v>
      </c>
      <c r="H189" s="5" t="n">
        <v>186.44</v>
      </c>
      <c r="I189" s="6" t="n">
        <v>0.2</v>
      </c>
      <c r="J189" s="5" t="n">
        <v>149.15</v>
      </c>
      <c r="K189" s="6" t="n">
        <v>0.09</v>
      </c>
      <c r="L189" s="5" t="n">
        <v>13.42</v>
      </c>
      <c r="M189" s="6" t="n">
        <v>0.09</v>
      </c>
      <c r="N189" s="5" t="n">
        <v>13.42</v>
      </c>
      <c r="O189" s="5" t="n">
        <f aca="false">J189+L189+N189</f>
        <v>175.99</v>
      </c>
      <c r="P189" s="5" t="n">
        <f aca="false">ROUND(H189*1.18/F189,2)</f>
        <v>11</v>
      </c>
      <c r="Q189" s="5" t="n">
        <f aca="false">ROUND(H189*0.8,2)</f>
        <v>149.15</v>
      </c>
      <c r="R189" s="5" t="n">
        <f aca="false">ROUND(Q189-J189,2)</f>
        <v>0</v>
      </c>
      <c r="S189" s="5" t="n">
        <f aca="false">ROUND(J189*9%,2)</f>
        <v>13.42</v>
      </c>
      <c r="T189" s="5" t="n">
        <f aca="false">ROUND(S189-L189,2)</f>
        <v>0</v>
      </c>
      <c r="U189" s="4" t="n">
        <v>6</v>
      </c>
      <c r="V189" s="4" t="s">
        <v>26</v>
      </c>
      <c r="W189" s="7"/>
      <c r="X189" s="5" t="n">
        <f aca="false">ROUND(J189/F189,2)</f>
        <v>7.46</v>
      </c>
    </row>
    <row r="190" customFormat="false" ht="15" hidden="false" customHeight="false" outlineLevel="0" collapsed="false">
      <c r="A190" s="3" t="n">
        <v>189</v>
      </c>
      <c r="B190" s="3" t="s">
        <v>420</v>
      </c>
      <c r="C190" s="3" t="s">
        <v>421</v>
      </c>
      <c r="D190" s="4" t="s">
        <v>422</v>
      </c>
      <c r="E190" s="5" t="n">
        <v>11</v>
      </c>
      <c r="F190" s="4" t="n">
        <v>20</v>
      </c>
      <c r="G190" s="5" t="n">
        <v>9.32</v>
      </c>
      <c r="H190" s="5" t="n">
        <v>186.44</v>
      </c>
      <c r="I190" s="6" t="n">
        <v>0.2</v>
      </c>
      <c r="J190" s="5" t="n">
        <v>149.15</v>
      </c>
      <c r="K190" s="6" t="n">
        <v>0.09</v>
      </c>
      <c r="L190" s="5" t="n">
        <v>13.42</v>
      </c>
      <c r="M190" s="6" t="n">
        <v>0.09</v>
      </c>
      <c r="N190" s="5" t="n">
        <v>13.42</v>
      </c>
      <c r="O190" s="5" t="n">
        <f aca="false">J190+L190+N190</f>
        <v>175.99</v>
      </c>
      <c r="P190" s="5" t="n">
        <f aca="false">ROUND(H190*1.18/F190,2)</f>
        <v>11</v>
      </c>
      <c r="Q190" s="5" t="n">
        <f aca="false">ROUND(H190*0.8,2)</f>
        <v>149.15</v>
      </c>
      <c r="R190" s="5" t="n">
        <f aca="false">ROUND(Q190-J190,2)</f>
        <v>0</v>
      </c>
      <c r="S190" s="5" t="n">
        <f aca="false">ROUND(J190*9%,2)</f>
        <v>13.42</v>
      </c>
      <c r="T190" s="5" t="n">
        <f aca="false">ROUND(S190-L190,2)</f>
        <v>0</v>
      </c>
      <c r="U190" s="4" t="n">
        <v>6</v>
      </c>
      <c r="V190" s="4" t="s">
        <v>26</v>
      </c>
      <c r="W190" s="7"/>
      <c r="X190" s="5" t="n">
        <f aca="false">ROUND(J190/F190,2)</f>
        <v>7.46</v>
      </c>
    </row>
    <row r="191" customFormat="false" ht="15" hidden="false" customHeight="false" outlineLevel="0" collapsed="false">
      <c r="A191" s="3" t="n">
        <v>190</v>
      </c>
      <c r="B191" s="3" t="s">
        <v>423</v>
      </c>
      <c r="C191" s="3" t="s">
        <v>424</v>
      </c>
      <c r="D191" s="4" t="s">
        <v>34</v>
      </c>
      <c r="E191" s="5" t="n">
        <v>271</v>
      </c>
      <c r="F191" s="4" t="n">
        <v>50</v>
      </c>
      <c r="G191" s="5" t="n">
        <v>229.66</v>
      </c>
      <c r="H191" s="5" t="n">
        <v>11483.05</v>
      </c>
      <c r="I191" s="6" t="n">
        <v>0.2</v>
      </c>
      <c r="J191" s="5" t="n">
        <v>9186.44</v>
      </c>
      <c r="K191" s="6" t="n">
        <v>0.09</v>
      </c>
      <c r="L191" s="5" t="n">
        <v>826.78</v>
      </c>
      <c r="M191" s="6" t="n">
        <v>0.09</v>
      </c>
      <c r="N191" s="5" t="n">
        <v>826.78</v>
      </c>
      <c r="O191" s="5" t="n">
        <f aca="false">J191+L191+N191</f>
        <v>10840</v>
      </c>
      <c r="P191" s="5" t="n">
        <f aca="false">ROUND(H191*1.18/F191,2)</f>
        <v>271</v>
      </c>
      <c r="Q191" s="5" t="n">
        <f aca="false">ROUND(H191*0.8,2)</f>
        <v>9186.44</v>
      </c>
      <c r="R191" s="5" t="n">
        <f aca="false">ROUND(Q191-J191,2)</f>
        <v>0</v>
      </c>
      <c r="S191" s="5" t="n">
        <f aca="false">ROUND(J191*9%,2)</f>
        <v>826.78</v>
      </c>
      <c r="T191" s="5" t="n">
        <f aca="false">ROUND(S191-L191,2)</f>
        <v>0</v>
      </c>
      <c r="U191" s="4" t="n">
        <v>6</v>
      </c>
      <c r="V191" s="4" t="s">
        <v>26</v>
      </c>
      <c r="W191" s="7"/>
      <c r="X191" s="5" t="n">
        <f aca="false">ROUND(J191/F191,2)</f>
        <v>183.73</v>
      </c>
    </row>
    <row r="192" customFormat="false" ht="15" hidden="false" customHeight="false" outlineLevel="0" collapsed="false">
      <c r="A192" s="3" t="n">
        <v>191</v>
      </c>
      <c r="B192" s="3" t="s">
        <v>425</v>
      </c>
      <c r="C192" s="3" t="s">
        <v>426</v>
      </c>
      <c r="D192" s="4" t="s">
        <v>427</v>
      </c>
      <c r="E192" s="5" t="n">
        <v>117</v>
      </c>
      <c r="F192" s="4" t="n">
        <v>5</v>
      </c>
      <c r="G192" s="5" t="n">
        <v>99.15</v>
      </c>
      <c r="H192" s="5" t="n">
        <v>495.76</v>
      </c>
      <c r="I192" s="6" t="n">
        <v>0.2</v>
      </c>
      <c r="J192" s="5" t="n">
        <v>396.61</v>
      </c>
      <c r="K192" s="6" t="n">
        <v>0.09</v>
      </c>
      <c r="L192" s="5" t="n">
        <v>35.69</v>
      </c>
      <c r="M192" s="6" t="n">
        <v>0.09</v>
      </c>
      <c r="N192" s="5" t="n">
        <v>35.69</v>
      </c>
      <c r="O192" s="5" t="n">
        <f aca="false">J192+L192+N192</f>
        <v>467.99</v>
      </c>
      <c r="P192" s="5" t="n">
        <f aca="false">ROUND(H192*1.18/F192,2)</f>
        <v>117</v>
      </c>
      <c r="Q192" s="5" t="n">
        <f aca="false">ROUND(H192*0.8,2)</f>
        <v>396.61</v>
      </c>
      <c r="R192" s="5" t="n">
        <f aca="false">ROUND(Q192-J192,2)</f>
        <v>0</v>
      </c>
      <c r="S192" s="5" t="n">
        <f aca="false">ROUND(J192*9%,2)</f>
        <v>35.69</v>
      </c>
      <c r="T192" s="5" t="n">
        <f aca="false">ROUND(S192-L192,2)</f>
        <v>0</v>
      </c>
      <c r="U192" s="4" t="n">
        <v>6</v>
      </c>
      <c r="V192" s="4" t="s">
        <v>26</v>
      </c>
      <c r="W192" s="7"/>
      <c r="X192" s="5" t="n">
        <f aca="false">ROUND(J192/F192,2)</f>
        <v>79.32</v>
      </c>
    </row>
    <row r="193" customFormat="false" ht="15" hidden="false" customHeight="false" outlineLevel="0" collapsed="false">
      <c r="A193" s="3" t="n">
        <v>192</v>
      </c>
      <c r="B193" s="3" t="s">
        <v>428</v>
      </c>
      <c r="C193" s="3" t="s">
        <v>429</v>
      </c>
      <c r="D193" s="4" t="s">
        <v>427</v>
      </c>
      <c r="E193" s="5" t="n">
        <v>224</v>
      </c>
      <c r="F193" s="4" t="n">
        <v>2</v>
      </c>
      <c r="G193" s="5" t="n">
        <v>189.83</v>
      </c>
      <c r="H193" s="5" t="n">
        <v>379.66</v>
      </c>
      <c r="I193" s="6" t="n">
        <v>0.2</v>
      </c>
      <c r="J193" s="5" t="n">
        <v>303.73</v>
      </c>
      <c r="K193" s="6" t="n">
        <v>0.09</v>
      </c>
      <c r="L193" s="5" t="n">
        <v>27.34</v>
      </c>
      <c r="M193" s="6" t="n">
        <v>0.09</v>
      </c>
      <c r="N193" s="5" t="n">
        <v>27.34</v>
      </c>
      <c r="O193" s="5" t="n">
        <f aca="false">J193+L193+N193</f>
        <v>358.41</v>
      </c>
      <c r="P193" s="5" t="n">
        <f aca="false">ROUND(H193*1.18/F193,2)</f>
        <v>224</v>
      </c>
      <c r="Q193" s="5" t="n">
        <f aca="false">ROUND(H193*0.8,2)</f>
        <v>303.73</v>
      </c>
      <c r="R193" s="5" t="n">
        <f aca="false">ROUND(Q193-J193,2)</f>
        <v>0</v>
      </c>
      <c r="S193" s="5" t="n">
        <f aca="false">ROUND(J193*9%,2)</f>
        <v>27.34</v>
      </c>
      <c r="T193" s="5" t="n">
        <f aca="false">ROUND(S193-L193,2)</f>
        <v>0</v>
      </c>
      <c r="U193" s="4" t="n">
        <v>6</v>
      </c>
      <c r="V193" s="4" t="s">
        <v>26</v>
      </c>
      <c r="W193" s="7"/>
      <c r="X193" s="5" t="n">
        <f aca="false">ROUND(J193/F193,2)</f>
        <v>151.87</v>
      </c>
    </row>
    <row r="194" customFormat="false" ht="15" hidden="false" customHeight="false" outlineLevel="0" collapsed="false">
      <c r="A194" s="3" t="n">
        <v>193</v>
      </c>
      <c r="B194" s="3" t="s">
        <v>430</v>
      </c>
      <c r="C194" s="3" t="s">
        <v>431</v>
      </c>
      <c r="D194" s="4" t="s">
        <v>432</v>
      </c>
      <c r="E194" s="5" t="n">
        <v>90</v>
      </c>
      <c r="F194" s="4" t="n">
        <v>20</v>
      </c>
      <c r="G194" s="5" t="n">
        <v>76.27</v>
      </c>
      <c r="H194" s="5" t="n">
        <v>1525.42</v>
      </c>
      <c r="I194" s="6" t="n">
        <v>0.2</v>
      </c>
      <c r="J194" s="5" t="n">
        <v>1220.34</v>
      </c>
      <c r="K194" s="6" t="n">
        <v>0.09</v>
      </c>
      <c r="L194" s="5" t="n">
        <v>109.83</v>
      </c>
      <c r="M194" s="6" t="n">
        <v>0.09</v>
      </c>
      <c r="N194" s="5" t="n">
        <v>109.83</v>
      </c>
      <c r="O194" s="5" t="n">
        <f aca="false">J194+L194+N194</f>
        <v>1440</v>
      </c>
      <c r="P194" s="5" t="n">
        <f aca="false">ROUND(H194*1.18/F194,2)</f>
        <v>90</v>
      </c>
      <c r="Q194" s="5" t="n">
        <f aca="false">ROUND(H194*0.8,2)</f>
        <v>1220.34</v>
      </c>
      <c r="R194" s="5" t="n">
        <f aca="false">ROUND(Q194-J194,2)</f>
        <v>0</v>
      </c>
      <c r="S194" s="5" t="n">
        <f aca="false">ROUND(J194*9%,2)</f>
        <v>109.83</v>
      </c>
      <c r="T194" s="5" t="n">
        <f aca="false">ROUND(S194-L194,2)</f>
        <v>0</v>
      </c>
      <c r="U194" s="4" t="n">
        <v>6</v>
      </c>
      <c r="V194" s="4" t="s">
        <v>26</v>
      </c>
      <c r="W194" s="7"/>
      <c r="X194" s="5" t="n">
        <f aca="false">ROUND(J194/F194,2)</f>
        <v>61.02</v>
      </c>
    </row>
    <row r="195" customFormat="false" ht="15" hidden="false" customHeight="false" outlineLevel="0" collapsed="false">
      <c r="A195" s="3" t="n">
        <v>194</v>
      </c>
      <c r="B195" s="3" t="s">
        <v>433</v>
      </c>
      <c r="C195" s="3" t="s">
        <v>434</v>
      </c>
      <c r="D195" s="4" t="s">
        <v>34</v>
      </c>
      <c r="E195" s="5" t="n">
        <v>2304</v>
      </c>
      <c r="F195" s="4" t="n">
        <v>2</v>
      </c>
      <c r="G195" s="5" t="n">
        <v>1952.54</v>
      </c>
      <c r="H195" s="5" t="n">
        <v>3905.08</v>
      </c>
      <c r="I195" s="6" t="n">
        <v>0.2</v>
      </c>
      <c r="J195" s="5" t="n">
        <v>3124.07</v>
      </c>
      <c r="K195" s="6" t="n">
        <v>0.09</v>
      </c>
      <c r="L195" s="5" t="n">
        <v>281.17</v>
      </c>
      <c r="M195" s="6" t="n">
        <v>0.09</v>
      </c>
      <c r="N195" s="5" t="n">
        <v>281.17</v>
      </c>
      <c r="O195" s="5" t="n">
        <f aca="false">J195+L195+N195</f>
        <v>3686.41</v>
      </c>
      <c r="P195" s="5" t="n">
        <f aca="false">ROUND(H195*1.18/F195,2)</f>
        <v>2304</v>
      </c>
      <c r="Q195" s="5" t="n">
        <f aca="false">ROUND(H195*0.8,2)</f>
        <v>3124.06</v>
      </c>
      <c r="R195" s="5" t="n">
        <f aca="false">ROUND(Q195-J195,2)</f>
        <v>-0.01</v>
      </c>
      <c r="S195" s="5" t="n">
        <f aca="false">ROUND(J195*9%,2)</f>
        <v>281.17</v>
      </c>
      <c r="T195" s="5" t="n">
        <f aca="false">ROUND(S195-L195,2)</f>
        <v>0</v>
      </c>
      <c r="U195" s="4" t="n">
        <v>6</v>
      </c>
      <c r="V195" s="4" t="s">
        <v>26</v>
      </c>
      <c r="W195" s="7"/>
      <c r="X195" s="5" t="n">
        <f aca="false">ROUND(J195/F195,2)</f>
        <v>1562.04</v>
      </c>
    </row>
    <row r="196" customFormat="false" ht="15" hidden="false" customHeight="false" outlineLevel="0" collapsed="false">
      <c r="A196" s="3" t="n">
        <v>195</v>
      </c>
      <c r="B196" s="3" t="s">
        <v>435</v>
      </c>
      <c r="C196" s="3" t="s">
        <v>436</v>
      </c>
      <c r="D196" s="4" t="s">
        <v>437</v>
      </c>
      <c r="E196" s="5" t="n">
        <v>2212</v>
      </c>
      <c r="F196" s="4" t="n">
        <v>1</v>
      </c>
      <c r="G196" s="5" t="n">
        <v>1874.58</v>
      </c>
      <c r="H196" s="5" t="n">
        <v>1874.58</v>
      </c>
      <c r="I196" s="6" t="n">
        <v>0.2</v>
      </c>
      <c r="J196" s="5" t="n">
        <v>1499.66</v>
      </c>
      <c r="K196" s="6" t="n">
        <v>0.09</v>
      </c>
      <c r="L196" s="5" t="n">
        <v>134.97</v>
      </c>
      <c r="M196" s="6" t="n">
        <v>0.09</v>
      </c>
      <c r="N196" s="5" t="n">
        <v>134.97</v>
      </c>
      <c r="O196" s="5" t="n">
        <f aca="false">J196+L196+N196</f>
        <v>1769.6</v>
      </c>
      <c r="P196" s="5" t="n">
        <f aca="false">ROUND(H196*1.18/F196,2)</f>
        <v>2212</v>
      </c>
      <c r="Q196" s="5" t="n">
        <f aca="false">ROUND(H196*0.8,2)</f>
        <v>1499.66</v>
      </c>
      <c r="R196" s="5" t="n">
        <f aca="false">ROUND(Q196-J196,2)</f>
        <v>0</v>
      </c>
      <c r="S196" s="5" t="n">
        <f aca="false">ROUND(J196*9%,2)</f>
        <v>134.97</v>
      </c>
      <c r="T196" s="5" t="n">
        <f aca="false">ROUND(S196-L196,2)</f>
        <v>0</v>
      </c>
      <c r="U196" s="4" t="n">
        <v>6</v>
      </c>
      <c r="V196" s="4" t="s">
        <v>26</v>
      </c>
      <c r="W196" s="7"/>
      <c r="X196" s="5" t="n">
        <f aca="false">ROUND(J196/F196,2)</f>
        <v>1499.66</v>
      </c>
    </row>
    <row r="197" customFormat="false" ht="15" hidden="false" customHeight="false" outlineLevel="0" collapsed="false">
      <c r="A197" s="3" t="n">
        <v>196</v>
      </c>
      <c r="B197" s="3" t="s">
        <v>438</v>
      </c>
      <c r="C197" s="3" t="s">
        <v>439</v>
      </c>
      <c r="D197" s="4" t="s">
        <v>440</v>
      </c>
      <c r="E197" s="5" t="n">
        <v>2212</v>
      </c>
      <c r="F197" s="4" t="n">
        <v>2</v>
      </c>
      <c r="G197" s="5" t="n">
        <v>1874.58</v>
      </c>
      <c r="H197" s="5" t="n">
        <v>3749.15</v>
      </c>
      <c r="I197" s="6" t="n">
        <v>0.2</v>
      </c>
      <c r="J197" s="5" t="n">
        <v>2999.32</v>
      </c>
      <c r="K197" s="6" t="n">
        <v>0.09</v>
      </c>
      <c r="L197" s="5" t="n">
        <v>269.94</v>
      </c>
      <c r="M197" s="6" t="n">
        <v>0.09</v>
      </c>
      <c r="N197" s="5" t="n">
        <v>269.94</v>
      </c>
      <c r="O197" s="5" t="n">
        <f aca="false">J197+L197+N197</f>
        <v>3539.2</v>
      </c>
      <c r="P197" s="5" t="n">
        <f aca="false">ROUND(H197*1.18/F197,2)</f>
        <v>2212</v>
      </c>
      <c r="Q197" s="5" t="n">
        <f aca="false">ROUND(H197*0.8,2)</f>
        <v>2999.32</v>
      </c>
      <c r="R197" s="5" t="n">
        <f aca="false">ROUND(Q197-J197,2)</f>
        <v>0</v>
      </c>
      <c r="S197" s="5" t="n">
        <f aca="false">ROUND(J197*9%,2)</f>
        <v>269.94</v>
      </c>
      <c r="T197" s="5" t="n">
        <f aca="false">ROUND(S197-L197,2)</f>
        <v>0</v>
      </c>
      <c r="U197" s="4" t="n">
        <v>6</v>
      </c>
      <c r="V197" s="4" t="s">
        <v>26</v>
      </c>
      <c r="W197" s="7"/>
      <c r="X197" s="5" t="n">
        <f aca="false">ROUND(J197/F197,2)</f>
        <v>1499.66</v>
      </c>
    </row>
    <row r="198" customFormat="false" ht="15" hidden="false" customHeight="false" outlineLevel="0" collapsed="false">
      <c r="A198" s="3" t="n">
        <v>197</v>
      </c>
      <c r="B198" s="3" t="s">
        <v>441</v>
      </c>
      <c r="C198" s="3" t="s">
        <v>442</v>
      </c>
      <c r="D198" s="4" t="s">
        <v>437</v>
      </c>
      <c r="E198" s="5" t="n">
        <v>2166</v>
      </c>
      <c r="F198" s="4" t="n">
        <v>2</v>
      </c>
      <c r="G198" s="5" t="n">
        <v>1835.59</v>
      </c>
      <c r="H198" s="5" t="n">
        <v>3671.19</v>
      </c>
      <c r="I198" s="6" t="n">
        <v>0.2</v>
      </c>
      <c r="J198" s="5" t="n">
        <v>2936.95</v>
      </c>
      <c r="K198" s="6" t="n">
        <v>0.09</v>
      </c>
      <c r="L198" s="5" t="n">
        <v>264.33</v>
      </c>
      <c r="M198" s="6" t="n">
        <v>0.09</v>
      </c>
      <c r="N198" s="5" t="n">
        <v>264.33</v>
      </c>
      <c r="O198" s="5" t="n">
        <f aca="false">J198+L198+N198</f>
        <v>3465.61</v>
      </c>
      <c r="P198" s="5" t="n">
        <f aca="false">ROUND(H198*1.18/F198,2)</f>
        <v>2166</v>
      </c>
      <c r="Q198" s="5" t="n">
        <f aca="false">ROUND(H198*0.8,2)</f>
        <v>2936.95</v>
      </c>
      <c r="R198" s="5" t="n">
        <f aca="false">ROUND(Q198-J198,2)</f>
        <v>0</v>
      </c>
      <c r="S198" s="5" t="n">
        <f aca="false">ROUND(J198*9%,2)</f>
        <v>264.33</v>
      </c>
      <c r="T198" s="5" t="n">
        <f aca="false">ROUND(S198-L198,2)</f>
        <v>0</v>
      </c>
      <c r="U198" s="4" t="n">
        <v>6</v>
      </c>
      <c r="V198" s="4" t="s">
        <v>26</v>
      </c>
      <c r="W198" s="7"/>
      <c r="X198" s="5" t="n">
        <f aca="false">ROUND(J198/F198,2)</f>
        <v>1468.48</v>
      </c>
    </row>
    <row r="199" customFormat="false" ht="15" hidden="false" customHeight="false" outlineLevel="0" collapsed="false">
      <c r="A199" s="3" t="n">
        <v>198</v>
      </c>
      <c r="B199" s="3" t="s">
        <v>443</v>
      </c>
      <c r="C199" s="3" t="s">
        <v>444</v>
      </c>
      <c r="D199" s="4" t="s">
        <v>437</v>
      </c>
      <c r="E199" s="5" t="n">
        <v>1982</v>
      </c>
      <c r="F199" s="4" t="n">
        <v>1</v>
      </c>
      <c r="G199" s="5" t="n">
        <v>1679.66</v>
      </c>
      <c r="H199" s="5" t="n">
        <v>1679.66</v>
      </c>
      <c r="I199" s="6" t="n">
        <v>0.2</v>
      </c>
      <c r="J199" s="5" t="n">
        <v>1343.73</v>
      </c>
      <c r="K199" s="6" t="n">
        <v>0.09</v>
      </c>
      <c r="L199" s="5" t="n">
        <v>120.94</v>
      </c>
      <c r="M199" s="6" t="n">
        <v>0.09</v>
      </c>
      <c r="N199" s="5" t="n">
        <v>120.94</v>
      </c>
      <c r="O199" s="5" t="n">
        <f aca="false">J199+L199+N199</f>
        <v>1585.61</v>
      </c>
      <c r="P199" s="5" t="n">
        <f aca="false">ROUND(H199*1.18/F199,2)</f>
        <v>1982</v>
      </c>
      <c r="Q199" s="5" t="n">
        <f aca="false">ROUND(H199*0.8,2)</f>
        <v>1343.73</v>
      </c>
      <c r="R199" s="5" t="n">
        <f aca="false">ROUND(Q199-J199,2)</f>
        <v>0</v>
      </c>
      <c r="S199" s="5" t="n">
        <f aca="false">ROUND(J199*9%,2)</f>
        <v>120.94</v>
      </c>
      <c r="T199" s="5" t="n">
        <f aca="false">ROUND(S199-L199,2)</f>
        <v>0</v>
      </c>
      <c r="U199" s="4" t="n">
        <v>6</v>
      </c>
      <c r="V199" s="4" t="s">
        <v>26</v>
      </c>
      <c r="W199" s="7"/>
      <c r="X199" s="5" t="n">
        <f aca="false">ROUND(J199/F199,2)</f>
        <v>1343.73</v>
      </c>
    </row>
    <row r="200" customFormat="false" ht="15" hidden="false" customHeight="false" outlineLevel="0" collapsed="false">
      <c r="A200" s="3" t="n">
        <v>199</v>
      </c>
      <c r="B200" s="3" t="s">
        <v>445</v>
      </c>
      <c r="C200" s="3" t="s">
        <v>446</v>
      </c>
      <c r="D200" s="4" t="s">
        <v>437</v>
      </c>
      <c r="E200" s="5" t="n">
        <v>2535</v>
      </c>
      <c r="F200" s="4" t="n">
        <v>1</v>
      </c>
      <c r="G200" s="5" t="n">
        <v>2148.31</v>
      </c>
      <c r="H200" s="5" t="n">
        <v>2148.31</v>
      </c>
      <c r="I200" s="6" t="n">
        <v>0.2</v>
      </c>
      <c r="J200" s="5" t="n">
        <v>1718.64</v>
      </c>
      <c r="K200" s="6" t="n">
        <v>0.09</v>
      </c>
      <c r="L200" s="5" t="n">
        <v>154.68</v>
      </c>
      <c r="M200" s="6" t="n">
        <v>0.09</v>
      </c>
      <c r="N200" s="5" t="n">
        <v>154.68</v>
      </c>
      <c r="O200" s="5" t="n">
        <f aca="false">J200+L200+N200</f>
        <v>2028</v>
      </c>
      <c r="P200" s="5" t="n">
        <f aca="false">ROUND(H200*1.18/F200,2)</f>
        <v>2535.01</v>
      </c>
      <c r="Q200" s="5" t="n">
        <f aca="false">ROUND(H200*0.8,2)</f>
        <v>1718.65</v>
      </c>
      <c r="R200" s="5" t="n">
        <f aca="false">ROUND(Q200-J200,2)</f>
        <v>0.01</v>
      </c>
      <c r="S200" s="5" t="n">
        <f aca="false">ROUND(J200*9%,2)</f>
        <v>154.68</v>
      </c>
      <c r="T200" s="5" t="n">
        <f aca="false">ROUND(S200-L200,2)</f>
        <v>0</v>
      </c>
      <c r="U200" s="4" t="n">
        <v>6</v>
      </c>
      <c r="V200" s="4" t="s">
        <v>26</v>
      </c>
      <c r="W200" s="7"/>
      <c r="X200" s="5" t="n">
        <f aca="false">ROUND(J200/F200,2)</f>
        <v>1718.64</v>
      </c>
    </row>
    <row r="201" customFormat="false" ht="15" hidden="false" customHeight="false" outlineLevel="0" collapsed="false">
      <c r="A201" s="3" t="n">
        <v>200</v>
      </c>
      <c r="B201" s="3" t="s">
        <v>447</v>
      </c>
      <c r="C201" s="3" t="s">
        <v>448</v>
      </c>
      <c r="D201" s="4" t="s">
        <v>405</v>
      </c>
      <c r="E201" s="5" t="n">
        <v>59</v>
      </c>
      <c r="F201" s="4" t="n">
        <v>5</v>
      </c>
      <c r="G201" s="5" t="n">
        <v>50</v>
      </c>
      <c r="H201" s="5" t="n">
        <v>250</v>
      </c>
      <c r="I201" s="6" t="n">
        <v>0.2</v>
      </c>
      <c r="J201" s="5" t="n">
        <v>200</v>
      </c>
      <c r="K201" s="6" t="n">
        <v>0.09</v>
      </c>
      <c r="L201" s="5" t="n">
        <v>18</v>
      </c>
      <c r="M201" s="6" t="n">
        <v>0.09</v>
      </c>
      <c r="N201" s="5" t="n">
        <v>18</v>
      </c>
      <c r="O201" s="5" t="n">
        <f aca="false">J201+L201+N201</f>
        <v>236</v>
      </c>
      <c r="P201" s="5" t="n">
        <f aca="false">ROUND(H201*1.18/F201,2)</f>
        <v>59</v>
      </c>
      <c r="Q201" s="5" t="n">
        <f aca="false">ROUND(H201*0.8,2)</f>
        <v>200</v>
      </c>
      <c r="R201" s="5" t="n">
        <f aca="false">ROUND(Q201-J201,2)</f>
        <v>0</v>
      </c>
      <c r="S201" s="5" t="n">
        <f aca="false">ROUND(J201*9%,2)</f>
        <v>18</v>
      </c>
      <c r="T201" s="5" t="n">
        <f aca="false">ROUND(S201-L201,2)</f>
        <v>0</v>
      </c>
      <c r="U201" s="4" t="n">
        <v>7</v>
      </c>
      <c r="V201" s="4" t="s">
        <v>26</v>
      </c>
      <c r="W201" s="7"/>
      <c r="X201" s="5" t="n">
        <f aca="false">ROUND(J201/F201,2)</f>
        <v>40</v>
      </c>
    </row>
    <row r="202" customFormat="false" ht="15" hidden="false" customHeight="false" outlineLevel="0" collapsed="false">
      <c r="A202" s="3" t="n">
        <v>201</v>
      </c>
      <c r="B202" s="3" t="s">
        <v>449</v>
      </c>
      <c r="C202" s="3" t="s">
        <v>450</v>
      </c>
      <c r="D202" s="4" t="s">
        <v>437</v>
      </c>
      <c r="E202" s="5" t="n">
        <v>700</v>
      </c>
      <c r="F202" s="4" t="n">
        <v>3</v>
      </c>
      <c r="G202" s="5" t="n">
        <v>593.22</v>
      </c>
      <c r="H202" s="5" t="n">
        <v>1779.66</v>
      </c>
      <c r="I202" s="6" t="n">
        <v>0.2</v>
      </c>
      <c r="J202" s="5" t="n">
        <v>1423.73</v>
      </c>
      <c r="K202" s="6" t="n">
        <v>0.09</v>
      </c>
      <c r="L202" s="5" t="n">
        <v>128.14</v>
      </c>
      <c r="M202" s="6" t="n">
        <v>0.09</v>
      </c>
      <c r="N202" s="5" t="n">
        <v>128.14</v>
      </c>
      <c r="O202" s="5" t="n">
        <f aca="false">J202+L202+N202</f>
        <v>1680.01</v>
      </c>
      <c r="P202" s="5" t="n">
        <f aca="false">ROUND(H202*1.18/F202,2)</f>
        <v>700</v>
      </c>
      <c r="Q202" s="5" t="n">
        <f aca="false">ROUND(H202*0.8,2)</f>
        <v>1423.73</v>
      </c>
      <c r="R202" s="5" t="n">
        <f aca="false">ROUND(Q202-J202,2)</f>
        <v>0</v>
      </c>
      <c r="S202" s="5" t="n">
        <f aca="false">ROUND(J202*9%,2)</f>
        <v>128.14</v>
      </c>
      <c r="T202" s="5" t="n">
        <f aca="false">ROUND(S202-L202,2)</f>
        <v>0</v>
      </c>
      <c r="U202" s="4" t="n">
        <v>7</v>
      </c>
      <c r="V202" s="4" t="s">
        <v>26</v>
      </c>
      <c r="W202" s="7"/>
      <c r="X202" s="5" t="n">
        <f aca="false">ROUND(J202/F202,2)</f>
        <v>474.58</v>
      </c>
    </row>
    <row r="203" customFormat="false" ht="15" hidden="false" customHeight="false" outlineLevel="0" collapsed="false">
      <c r="A203" s="3" t="n">
        <v>202</v>
      </c>
      <c r="B203" s="3" t="s">
        <v>451</v>
      </c>
      <c r="C203" s="3" t="s">
        <v>452</v>
      </c>
      <c r="D203" s="4" t="s">
        <v>437</v>
      </c>
      <c r="E203" s="5" t="n">
        <v>691</v>
      </c>
      <c r="F203" s="4" t="n">
        <v>3</v>
      </c>
      <c r="G203" s="5" t="n">
        <v>585.59</v>
      </c>
      <c r="H203" s="5" t="n">
        <v>1756.78</v>
      </c>
      <c r="I203" s="6" t="n">
        <v>0.2</v>
      </c>
      <c r="J203" s="5" t="n">
        <v>1405.42</v>
      </c>
      <c r="K203" s="6" t="n">
        <v>0.09</v>
      </c>
      <c r="L203" s="5" t="n">
        <v>126.49</v>
      </c>
      <c r="M203" s="6" t="n">
        <v>0.09</v>
      </c>
      <c r="N203" s="5" t="n">
        <v>126.49</v>
      </c>
      <c r="O203" s="5" t="n">
        <f aca="false">J203+L203+N203</f>
        <v>1658.4</v>
      </c>
      <c r="P203" s="5" t="n">
        <f aca="false">ROUND(H203*1.18/F203,2)</f>
        <v>691</v>
      </c>
      <c r="Q203" s="5" t="n">
        <f aca="false">ROUND(H203*0.8,2)</f>
        <v>1405.42</v>
      </c>
      <c r="R203" s="5" t="n">
        <f aca="false">ROUND(Q203-J203,2)</f>
        <v>0</v>
      </c>
      <c r="S203" s="5" t="n">
        <f aca="false">ROUND(J203*9%,2)</f>
        <v>126.49</v>
      </c>
      <c r="T203" s="5" t="n">
        <f aca="false">ROUND(S203-L203,2)</f>
        <v>0</v>
      </c>
      <c r="U203" s="4" t="n">
        <v>7</v>
      </c>
      <c r="V203" s="4" t="s">
        <v>26</v>
      </c>
      <c r="W203" s="7"/>
      <c r="X203" s="5" t="n">
        <f aca="false">ROUND(J203/F203,2)</f>
        <v>468.47</v>
      </c>
    </row>
    <row r="204" customFormat="false" ht="15" hidden="false" customHeight="false" outlineLevel="0" collapsed="false">
      <c r="A204" s="3" t="n">
        <v>203</v>
      </c>
      <c r="B204" s="3" t="s">
        <v>453</v>
      </c>
      <c r="C204" s="3" t="s">
        <v>454</v>
      </c>
      <c r="D204" s="4" t="s">
        <v>34</v>
      </c>
      <c r="E204" s="5" t="n">
        <v>424</v>
      </c>
      <c r="F204" s="4" t="n">
        <v>10</v>
      </c>
      <c r="G204" s="5" t="n">
        <v>359.32</v>
      </c>
      <c r="H204" s="5" t="n">
        <v>3593.22</v>
      </c>
      <c r="I204" s="6" t="n">
        <v>0.2</v>
      </c>
      <c r="J204" s="5" t="n">
        <v>2874.58</v>
      </c>
      <c r="K204" s="6" t="n">
        <v>0.09</v>
      </c>
      <c r="L204" s="5" t="n">
        <v>258.71</v>
      </c>
      <c r="M204" s="6" t="n">
        <v>0.09</v>
      </c>
      <c r="N204" s="5" t="n">
        <v>258.71</v>
      </c>
      <c r="O204" s="5" t="n">
        <f aca="false">J204+L204+N204</f>
        <v>3392</v>
      </c>
      <c r="P204" s="5" t="n">
        <f aca="false">ROUND(H204*1.18/F204,2)</f>
        <v>424</v>
      </c>
      <c r="Q204" s="5" t="n">
        <f aca="false">ROUND(H204*0.8,2)</f>
        <v>2874.58</v>
      </c>
      <c r="R204" s="5" t="n">
        <f aca="false">ROUND(Q204-J204,2)</f>
        <v>0</v>
      </c>
      <c r="S204" s="5" t="n">
        <f aca="false">ROUND(J204*9%,2)</f>
        <v>258.71</v>
      </c>
      <c r="T204" s="5" t="n">
        <f aca="false">ROUND(S204-L204,2)</f>
        <v>0</v>
      </c>
      <c r="U204" s="4" t="n">
        <v>7</v>
      </c>
      <c r="V204" s="4" t="s">
        <v>26</v>
      </c>
      <c r="W204" s="7"/>
      <c r="X204" s="5" t="n">
        <f aca="false">ROUND(J204/F204,2)</f>
        <v>287.46</v>
      </c>
    </row>
    <row r="205" customFormat="false" ht="15" hidden="false" customHeight="false" outlineLevel="0" collapsed="false">
      <c r="A205" s="3" t="n">
        <v>204</v>
      </c>
      <c r="B205" s="3" t="s">
        <v>455</v>
      </c>
      <c r="C205" s="3" t="s">
        <v>456</v>
      </c>
      <c r="D205" s="4" t="s">
        <v>34</v>
      </c>
      <c r="E205" s="5" t="n">
        <v>304</v>
      </c>
      <c r="F205" s="4" t="n">
        <v>30</v>
      </c>
      <c r="G205" s="5" t="n">
        <v>257.63</v>
      </c>
      <c r="H205" s="5" t="n">
        <v>7728.81</v>
      </c>
      <c r="I205" s="6" t="n">
        <v>0.2</v>
      </c>
      <c r="J205" s="5" t="n">
        <v>6183.05</v>
      </c>
      <c r="K205" s="6" t="n">
        <v>0.09</v>
      </c>
      <c r="L205" s="5" t="n">
        <v>556.47</v>
      </c>
      <c r="M205" s="6" t="n">
        <v>0.09</v>
      </c>
      <c r="N205" s="5" t="n">
        <v>556.47</v>
      </c>
      <c r="O205" s="5" t="n">
        <f aca="false">J205+L205+N205</f>
        <v>7295.99</v>
      </c>
      <c r="P205" s="5" t="n">
        <f aca="false">ROUND(H205*1.18/F205,2)</f>
        <v>304</v>
      </c>
      <c r="Q205" s="5" t="n">
        <f aca="false">ROUND(H205*0.8,2)</f>
        <v>6183.05</v>
      </c>
      <c r="R205" s="5" t="n">
        <f aca="false">ROUND(Q205-J205,2)</f>
        <v>0</v>
      </c>
      <c r="S205" s="5" t="n">
        <f aca="false">ROUND(J205*9%,2)</f>
        <v>556.47</v>
      </c>
      <c r="T205" s="5" t="n">
        <f aca="false">ROUND(S205-L205,2)</f>
        <v>0</v>
      </c>
      <c r="U205" s="4" t="n">
        <v>7</v>
      </c>
      <c r="V205" s="4" t="s">
        <v>26</v>
      </c>
      <c r="W205" s="7"/>
      <c r="X205" s="5" t="n">
        <f aca="false">ROUND(J205/F205,2)</f>
        <v>206.1</v>
      </c>
    </row>
    <row r="206" customFormat="false" ht="15" hidden="false" customHeight="false" outlineLevel="0" collapsed="false">
      <c r="A206" s="3" t="n">
        <v>205</v>
      </c>
      <c r="B206" s="3" t="s">
        <v>457</v>
      </c>
      <c r="C206" s="3" t="s">
        <v>458</v>
      </c>
      <c r="D206" s="4" t="s">
        <v>34</v>
      </c>
      <c r="E206" s="5" t="n">
        <v>401</v>
      </c>
      <c r="F206" s="4" t="n">
        <v>5</v>
      </c>
      <c r="G206" s="5" t="n">
        <v>339.83</v>
      </c>
      <c r="H206" s="5" t="n">
        <v>1699.15</v>
      </c>
      <c r="I206" s="6" t="n">
        <v>0.2</v>
      </c>
      <c r="J206" s="5" t="n">
        <v>1359.32</v>
      </c>
      <c r="K206" s="6" t="n">
        <v>0.09</v>
      </c>
      <c r="L206" s="5" t="n">
        <v>122.34</v>
      </c>
      <c r="M206" s="6" t="n">
        <v>0.09</v>
      </c>
      <c r="N206" s="5" t="n">
        <v>122.34</v>
      </c>
      <c r="O206" s="5" t="n">
        <f aca="false">J206+L206+N206</f>
        <v>1604</v>
      </c>
      <c r="P206" s="5" t="n">
        <f aca="false">ROUND(H206*1.18/F206,2)</f>
        <v>401</v>
      </c>
      <c r="Q206" s="5" t="n">
        <f aca="false">ROUND(H206*0.8,2)</f>
        <v>1359.32</v>
      </c>
      <c r="R206" s="5" t="n">
        <f aca="false">ROUND(Q206-J206,2)</f>
        <v>0</v>
      </c>
      <c r="S206" s="5" t="n">
        <f aca="false">ROUND(J206*9%,2)</f>
        <v>122.34</v>
      </c>
      <c r="T206" s="5" t="n">
        <f aca="false">ROUND(S206-L206,2)</f>
        <v>0</v>
      </c>
      <c r="U206" s="4" t="n">
        <v>7</v>
      </c>
      <c r="V206" s="4" t="s">
        <v>26</v>
      </c>
      <c r="W206" s="7"/>
      <c r="X206" s="5" t="n">
        <f aca="false">ROUND(J206/F206,2)</f>
        <v>271.86</v>
      </c>
    </row>
    <row r="207" customFormat="false" ht="15" hidden="false" customHeight="false" outlineLevel="0" collapsed="false">
      <c r="A207" s="3" t="n">
        <v>206</v>
      </c>
      <c r="B207" s="3" t="s">
        <v>459</v>
      </c>
      <c r="C207" s="3" t="s">
        <v>460</v>
      </c>
      <c r="D207" s="4" t="s">
        <v>34</v>
      </c>
      <c r="E207" s="5" t="n">
        <v>119</v>
      </c>
      <c r="F207" s="4" t="n">
        <v>5</v>
      </c>
      <c r="G207" s="5" t="n">
        <v>100.85</v>
      </c>
      <c r="H207" s="5" t="n">
        <v>504.24</v>
      </c>
      <c r="I207" s="6" t="n">
        <v>0.2</v>
      </c>
      <c r="J207" s="5" t="n">
        <v>403.39</v>
      </c>
      <c r="K207" s="6" t="n">
        <v>0.09</v>
      </c>
      <c r="L207" s="5" t="n">
        <v>36.31</v>
      </c>
      <c r="M207" s="6" t="n">
        <v>0.09</v>
      </c>
      <c r="N207" s="5" t="n">
        <v>36.31</v>
      </c>
      <c r="O207" s="5" t="n">
        <f aca="false">J207+L207+N207</f>
        <v>476.01</v>
      </c>
      <c r="P207" s="5" t="n">
        <f aca="false">ROUND(H207*1.18/F207,2)</f>
        <v>119</v>
      </c>
      <c r="Q207" s="5" t="n">
        <f aca="false">ROUND(H207*0.8,2)</f>
        <v>403.39</v>
      </c>
      <c r="R207" s="5" t="n">
        <f aca="false">ROUND(Q207-J207,2)</f>
        <v>0</v>
      </c>
      <c r="S207" s="5" t="n">
        <f aca="false">ROUND(J207*9%,2)</f>
        <v>36.31</v>
      </c>
      <c r="T207" s="5" t="n">
        <f aca="false">ROUND(S207-L207,2)</f>
        <v>0</v>
      </c>
      <c r="U207" s="4" t="n">
        <v>7</v>
      </c>
      <c r="V207" s="4" t="s">
        <v>26</v>
      </c>
      <c r="W207" s="7"/>
      <c r="X207" s="5" t="n">
        <f aca="false">ROUND(J207/F207,2)</f>
        <v>80.68</v>
      </c>
    </row>
    <row r="208" customFormat="false" ht="15" hidden="false" customHeight="false" outlineLevel="0" collapsed="false">
      <c r="A208" s="3" t="n">
        <v>207</v>
      </c>
      <c r="B208" s="3" t="s">
        <v>461</v>
      </c>
      <c r="C208" s="3" t="s">
        <v>462</v>
      </c>
      <c r="D208" s="4" t="s">
        <v>34</v>
      </c>
      <c r="E208" s="5" t="n">
        <v>69</v>
      </c>
      <c r="F208" s="4" t="n">
        <v>5</v>
      </c>
      <c r="G208" s="5" t="n">
        <v>58.47</v>
      </c>
      <c r="H208" s="5" t="n">
        <v>292.37</v>
      </c>
      <c r="I208" s="6" t="n">
        <v>0.2</v>
      </c>
      <c r="J208" s="5" t="n">
        <v>233.9</v>
      </c>
      <c r="K208" s="6" t="n">
        <v>0.09</v>
      </c>
      <c r="L208" s="5" t="n">
        <v>21.05</v>
      </c>
      <c r="M208" s="6" t="n">
        <v>0.09</v>
      </c>
      <c r="N208" s="5" t="n">
        <v>21.05</v>
      </c>
      <c r="O208" s="5" t="n">
        <f aca="false">J208+L208+N208</f>
        <v>276</v>
      </c>
      <c r="P208" s="5" t="n">
        <f aca="false">ROUND(H208*1.18/F208,2)</f>
        <v>69</v>
      </c>
      <c r="Q208" s="5" t="n">
        <f aca="false">ROUND(H208*0.8,2)</f>
        <v>233.9</v>
      </c>
      <c r="R208" s="5" t="n">
        <f aca="false">ROUND(Q208-J208,2)</f>
        <v>0</v>
      </c>
      <c r="S208" s="5" t="n">
        <f aca="false">ROUND(J208*9%,2)</f>
        <v>21.05</v>
      </c>
      <c r="T208" s="5" t="n">
        <f aca="false">ROUND(S208-L208,2)</f>
        <v>0</v>
      </c>
      <c r="U208" s="4" t="n">
        <v>7</v>
      </c>
      <c r="V208" s="4" t="s">
        <v>26</v>
      </c>
      <c r="W208" s="7"/>
      <c r="X208" s="5" t="n">
        <f aca="false">ROUND(J208/F208,2)</f>
        <v>46.78</v>
      </c>
    </row>
    <row r="209" customFormat="false" ht="15" hidden="false" customHeight="false" outlineLevel="0" collapsed="false">
      <c r="A209" s="3" t="n">
        <v>208</v>
      </c>
      <c r="B209" s="3" t="s">
        <v>463</v>
      </c>
      <c r="C209" s="3" t="s">
        <v>464</v>
      </c>
      <c r="D209" s="4" t="s">
        <v>465</v>
      </c>
      <c r="E209" s="5" t="n">
        <v>414</v>
      </c>
      <c r="F209" s="4" t="n">
        <v>1</v>
      </c>
      <c r="G209" s="5" t="n">
        <v>350.85</v>
      </c>
      <c r="H209" s="5" t="n">
        <v>350.85</v>
      </c>
      <c r="I209" s="6" t="n">
        <v>0.2</v>
      </c>
      <c r="J209" s="5" t="n">
        <v>280.68</v>
      </c>
      <c r="K209" s="6" t="n">
        <v>0.09</v>
      </c>
      <c r="L209" s="5" t="n">
        <v>25.26</v>
      </c>
      <c r="M209" s="6" t="n">
        <v>0.09</v>
      </c>
      <c r="N209" s="5" t="n">
        <v>25.26</v>
      </c>
      <c r="O209" s="5" t="n">
        <f aca="false">J209+L209+N209</f>
        <v>331.2</v>
      </c>
      <c r="P209" s="5" t="n">
        <f aca="false">ROUND(H209*1.18/F209,2)</f>
        <v>414</v>
      </c>
      <c r="Q209" s="5" t="n">
        <f aca="false">ROUND(H209*0.8,2)</f>
        <v>280.68</v>
      </c>
      <c r="R209" s="5" t="n">
        <f aca="false">ROUND(Q209-J209,2)</f>
        <v>0</v>
      </c>
      <c r="S209" s="5" t="n">
        <f aca="false">ROUND(J209*9%,2)</f>
        <v>25.26</v>
      </c>
      <c r="T209" s="5" t="n">
        <f aca="false">ROUND(S209-L209,2)</f>
        <v>0</v>
      </c>
      <c r="U209" s="4" t="n">
        <v>7</v>
      </c>
      <c r="V209" s="4" t="s">
        <v>26</v>
      </c>
      <c r="W209" s="7"/>
      <c r="X209" s="5" t="n">
        <f aca="false">ROUND(J209/F209,2)</f>
        <v>280.68</v>
      </c>
    </row>
    <row r="210" customFormat="false" ht="15" hidden="false" customHeight="false" outlineLevel="0" collapsed="false">
      <c r="A210" s="3" t="n">
        <v>209</v>
      </c>
      <c r="B210" s="3" t="s">
        <v>466</v>
      </c>
      <c r="C210" s="3" t="s">
        <v>467</v>
      </c>
      <c r="D210" s="4" t="s">
        <v>55</v>
      </c>
      <c r="E210" s="5" t="n">
        <v>40</v>
      </c>
      <c r="F210" s="4" t="n">
        <v>9</v>
      </c>
      <c r="G210" s="5" t="n">
        <v>33.9</v>
      </c>
      <c r="H210" s="5" t="n">
        <v>305.08</v>
      </c>
      <c r="I210" s="6" t="n">
        <v>0.2</v>
      </c>
      <c r="J210" s="5" t="n">
        <v>244.07</v>
      </c>
      <c r="K210" s="6" t="n">
        <v>0.09</v>
      </c>
      <c r="L210" s="5" t="n">
        <v>21.97</v>
      </c>
      <c r="M210" s="6" t="n">
        <v>0.09</v>
      </c>
      <c r="N210" s="5" t="n">
        <v>21.97</v>
      </c>
      <c r="O210" s="5" t="n">
        <f aca="false">J210+L210+N210</f>
        <v>288.01</v>
      </c>
      <c r="P210" s="5" t="n">
        <f aca="false">ROUND(H210*1.18/F210,2)</f>
        <v>40</v>
      </c>
      <c r="Q210" s="5" t="n">
        <f aca="false">ROUND(H210*0.8,2)</f>
        <v>244.06</v>
      </c>
      <c r="R210" s="5" t="n">
        <f aca="false">ROUND(Q210-J210,2)</f>
        <v>-0.01</v>
      </c>
      <c r="S210" s="5" t="n">
        <f aca="false">ROUND(J210*9%,2)</f>
        <v>21.97</v>
      </c>
      <c r="T210" s="5" t="n">
        <f aca="false">ROUND(S210-L210,2)</f>
        <v>0</v>
      </c>
      <c r="U210" s="4" t="n">
        <v>7</v>
      </c>
      <c r="V210" s="4" t="s">
        <v>26</v>
      </c>
      <c r="W210" s="7"/>
      <c r="X210" s="5" t="n">
        <f aca="false">ROUND(J210/F210,2)</f>
        <v>27.12</v>
      </c>
    </row>
    <row r="211" customFormat="false" ht="15" hidden="false" customHeight="false" outlineLevel="0" collapsed="false">
      <c r="A211" s="3" t="n">
        <v>210</v>
      </c>
      <c r="B211" s="3" t="s">
        <v>468</v>
      </c>
      <c r="C211" s="3" t="s">
        <v>469</v>
      </c>
      <c r="D211" s="4" t="s">
        <v>470</v>
      </c>
      <c r="E211" s="5" t="n">
        <v>120</v>
      </c>
      <c r="F211" s="4" t="n">
        <v>10</v>
      </c>
      <c r="G211" s="5" t="n">
        <v>101.69</v>
      </c>
      <c r="H211" s="5" t="n">
        <v>1016.95</v>
      </c>
      <c r="I211" s="6" t="n">
        <v>0.2</v>
      </c>
      <c r="J211" s="5" t="n">
        <v>813.56</v>
      </c>
      <c r="K211" s="6" t="n">
        <v>0.09</v>
      </c>
      <c r="L211" s="5" t="n">
        <v>73.22</v>
      </c>
      <c r="M211" s="6" t="n">
        <v>0.09</v>
      </c>
      <c r="N211" s="5" t="n">
        <v>73.22</v>
      </c>
      <c r="O211" s="5" t="n">
        <f aca="false">J211+L211+N211</f>
        <v>960</v>
      </c>
      <c r="P211" s="5" t="n">
        <f aca="false">ROUND(H211*1.18/F211,2)</f>
        <v>120</v>
      </c>
      <c r="Q211" s="5" t="n">
        <f aca="false">ROUND(H211*0.8,2)</f>
        <v>813.56</v>
      </c>
      <c r="R211" s="5" t="n">
        <f aca="false">ROUND(Q211-J211,2)</f>
        <v>0</v>
      </c>
      <c r="S211" s="5" t="n">
        <f aca="false">ROUND(J211*9%,2)</f>
        <v>73.22</v>
      </c>
      <c r="T211" s="5" t="n">
        <f aca="false">ROUND(S211-L211,2)</f>
        <v>0</v>
      </c>
      <c r="U211" s="4" t="n">
        <v>7</v>
      </c>
      <c r="V211" s="4" t="s">
        <v>26</v>
      </c>
      <c r="W211" s="7"/>
      <c r="X211" s="5" t="n">
        <f aca="false">ROUND(J211/F211,2)</f>
        <v>81.36</v>
      </c>
    </row>
    <row r="212" customFormat="false" ht="15" hidden="false" customHeight="false" outlineLevel="0" collapsed="false">
      <c r="A212" s="3" t="n">
        <v>211</v>
      </c>
      <c r="B212" s="3" t="s">
        <v>471</v>
      </c>
      <c r="C212" s="3" t="s">
        <v>472</v>
      </c>
      <c r="D212" s="4" t="s">
        <v>34</v>
      </c>
      <c r="E212" s="5" t="n">
        <v>1336</v>
      </c>
      <c r="F212" s="4" t="n">
        <v>2</v>
      </c>
      <c r="G212" s="5" t="n">
        <v>1132.2</v>
      </c>
      <c r="H212" s="5" t="n">
        <v>2264.41</v>
      </c>
      <c r="I212" s="6" t="n">
        <v>0.2</v>
      </c>
      <c r="J212" s="5" t="n">
        <v>1811.53</v>
      </c>
      <c r="K212" s="6" t="n">
        <v>0.09</v>
      </c>
      <c r="L212" s="5" t="n">
        <v>163.04</v>
      </c>
      <c r="M212" s="6" t="n">
        <v>0.09</v>
      </c>
      <c r="N212" s="5" t="n">
        <v>163.04</v>
      </c>
      <c r="O212" s="5" t="n">
        <f aca="false">J212+L212+N212</f>
        <v>2137.61</v>
      </c>
      <c r="P212" s="5" t="n">
        <f aca="false">ROUND(H212*1.18/F212,2)</f>
        <v>1336</v>
      </c>
      <c r="Q212" s="5" t="n">
        <f aca="false">ROUND(H212*0.8,2)</f>
        <v>1811.53</v>
      </c>
      <c r="R212" s="5" t="n">
        <f aca="false">ROUND(Q212-J212,2)</f>
        <v>0</v>
      </c>
      <c r="S212" s="5" t="n">
        <f aca="false">ROUND(J212*9%,2)</f>
        <v>163.04</v>
      </c>
      <c r="T212" s="5" t="n">
        <f aca="false">ROUND(S212-L212,2)</f>
        <v>0</v>
      </c>
      <c r="U212" s="4" t="n">
        <v>7</v>
      </c>
      <c r="V212" s="4" t="s">
        <v>26</v>
      </c>
      <c r="W212" s="7"/>
      <c r="X212" s="5" t="n">
        <f aca="false">ROUND(J212/F212,2)</f>
        <v>905.77</v>
      </c>
    </row>
    <row r="213" customFormat="false" ht="15" hidden="false" customHeight="false" outlineLevel="0" collapsed="false">
      <c r="A213" s="3" t="n">
        <v>212</v>
      </c>
      <c r="B213" s="3" t="s">
        <v>473</v>
      </c>
      <c r="C213" s="3" t="s">
        <v>474</v>
      </c>
      <c r="D213" s="4" t="s">
        <v>475</v>
      </c>
      <c r="E213" s="5" t="n">
        <v>875</v>
      </c>
      <c r="F213" s="4" t="n">
        <v>5</v>
      </c>
      <c r="G213" s="5" t="n">
        <v>741.53</v>
      </c>
      <c r="H213" s="5" t="n">
        <v>3707.63</v>
      </c>
      <c r="I213" s="6" t="n">
        <v>0.2</v>
      </c>
      <c r="J213" s="5" t="n">
        <v>2966.1</v>
      </c>
      <c r="K213" s="6" t="n">
        <v>0.09</v>
      </c>
      <c r="L213" s="5" t="n">
        <v>266.95</v>
      </c>
      <c r="M213" s="6" t="n">
        <v>0.09</v>
      </c>
      <c r="N213" s="5" t="n">
        <v>266.95</v>
      </c>
      <c r="O213" s="5" t="n">
        <f aca="false">J213+L213+N213</f>
        <v>3500</v>
      </c>
      <c r="P213" s="5" t="n">
        <f aca="false">ROUND(H213*1.18/F213,2)</f>
        <v>875</v>
      </c>
      <c r="Q213" s="5" t="n">
        <f aca="false">ROUND(H213*0.8,2)</f>
        <v>2966.1</v>
      </c>
      <c r="R213" s="5" t="n">
        <f aca="false">ROUND(Q213-J213,2)</f>
        <v>0</v>
      </c>
      <c r="S213" s="5" t="n">
        <f aca="false">ROUND(J213*9%,2)</f>
        <v>266.95</v>
      </c>
      <c r="T213" s="5" t="n">
        <f aca="false">ROUND(S213-L213,2)</f>
        <v>0</v>
      </c>
      <c r="U213" s="4" t="n">
        <v>7</v>
      </c>
      <c r="V213" s="4" t="s">
        <v>26</v>
      </c>
      <c r="W213" s="7"/>
      <c r="X213" s="5" t="n">
        <f aca="false">ROUND(J213/F213,2)</f>
        <v>593.22</v>
      </c>
    </row>
    <row r="214" customFormat="false" ht="15" hidden="false" customHeight="false" outlineLevel="0" collapsed="false">
      <c r="A214" s="3" t="n">
        <v>213</v>
      </c>
      <c r="B214" s="3" t="s">
        <v>476</v>
      </c>
      <c r="C214" s="3" t="s">
        <v>477</v>
      </c>
      <c r="D214" s="4" t="s">
        <v>34</v>
      </c>
      <c r="E214" s="5" t="n">
        <v>659</v>
      </c>
      <c r="F214" s="4" t="n">
        <v>5</v>
      </c>
      <c r="G214" s="5" t="n">
        <v>558.47</v>
      </c>
      <c r="H214" s="5" t="n">
        <v>2792.37</v>
      </c>
      <c r="I214" s="6" t="n">
        <v>0.2</v>
      </c>
      <c r="J214" s="5" t="n">
        <v>2233.9</v>
      </c>
      <c r="K214" s="6" t="n">
        <v>0.09</v>
      </c>
      <c r="L214" s="5" t="n">
        <v>201.05</v>
      </c>
      <c r="M214" s="6" t="n">
        <v>0.09</v>
      </c>
      <c r="N214" s="5" t="n">
        <v>201.05</v>
      </c>
      <c r="O214" s="5" t="n">
        <f aca="false">J214+L214+N214</f>
        <v>2636</v>
      </c>
      <c r="P214" s="5" t="n">
        <f aca="false">ROUND(H214*1.18/F214,2)</f>
        <v>659</v>
      </c>
      <c r="Q214" s="5" t="n">
        <f aca="false">ROUND(H214*0.8,2)</f>
        <v>2233.9</v>
      </c>
      <c r="R214" s="5" t="n">
        <f aca="false">ROUND(Q214-J214,2)</f>
        <v>0</v>
      </c>
      <c r="S214" s="5" t="n">
        <f aca="false">ROUND(J214*9%,2)</f>
        <v>201.05</v>
      </c>
      <c r="T214" s="5" t="n">
        <f aca="false">ROUND(S214-L214,2)</f>
        <v>0</v>
      </c>
      <c r="U214" s="4" t="n">
        <v>7</v>
      </c>
      <c r="V214" s="4" t="s">
        <v>26</v>
      </c>
      <c r="W214" s="7"/>
      <c r="X214" s="5" t="n">
        <f aca="false">ROUND(J214/F214,2)</f>
        <v>446.78</v>
      </c>
    </row>
    <row r="215" customFormat="false" ht="15" hidden="false" customHeight="false" outlineLevel="0" collapsed="false">
      <c r="A215" s="3" t="n">
        <v>214</v>
      </c>
      <c r="B215" s="3" t="s">
        <v>478</v>
      </c>
      <c r="C215" s="3" t="s">
        <v>479</v>
      </c>
      <c r="D215" s="4" t="s">
        <v>34</v>
      </c>
      <c r="E215" s="5" t="n">
        <v>1289</v>
      </c>
      <c r="F215" s="4" t="n">
        <v>10</v>
      </c>
      <c r="G215" s="5" t="n">
        <v>1092.37</v>
      </c>
      <c r="H215" s="5" t="n">
        <v>10923.73</v>
      </c>
      <c r="I215" s="6" t="n">
        <v>0.2</v>
      </c>
      <c r="J215" s="5" t="n">
        <v>8738.98</v>
      </c>
      <c r="K215" s="6" t="n">
        <v>0.09</v>
      </c>
      <c r="L215" s="5" t="n">
        <v>786.51</v>
      </c>
      <c r="M215" s="6" t="n">
        <v>0.09</v>
      </c>
      <c r="N215" s="5" t="n">
        <v>786.51</v>
      </c>
      <c r="O215" s="5" t="n">
        <f aca="false">J215+L215+N215</f>
        <v>10312</v>
      </c>
      <c r="P215" s="5" t="n">
        <f aca="false">ROUND(H215*1.18/F215,2)</f>
        <v>1289</v>
      </c>
      <c r="Q215" s="5" t="n">
        <f aca="false">ROUND(H215*0.8,2)</f>
        <v>8738.98</v>
      </c>
      <c r="R215" s="5" t="n">
        <f aca="false">ROUND(Q215-J215,2)</f>
        <v>0</v>
      </c>
      <c r="S215" s="5" t="n">
        <f aca="false">ROUND(J215*9%,2)</f>
        <v>786.51</v>
      </c>
      <c r="T215" s="5" t="n">
        <f aca="false">ROUND(S215-L215,2)</f>
        <v>0</v>
      </c>
      <c r="U215" s="4" t="n">
        <v>7</v>
      </c>
      <c r="V215" s="4" t="s">
        <v>26</v>
      </c>
      <c r="W215" s="7"/>
      <c r="X215" s="5" t="n">
        <f aca="false">ROUND(J215/F215,2)</f>
        <v>873.9</v>
      </c>
    </row>
    <row r="216" customFormat="false" ht="15" hidden="false" customHeight="false" outlineLevel="0" collapsed="false">
      <c r="A216" s="3" t="n">
        <v>215</v>
      </c>
      <c r="B216" s="3" t="s">
        <v>480</v>
      </c>
      <c r="C216" s="3" t="s">
        <v>481</v>
      </c>
      <c r="D216" s="4" t="s">
        <v>34</v>
      </c>
      <c r="E216" s="5" t="n">
        <v>69</v>
      </c>
      <c r="F216" s="4" t="n">
        <v>10</v>
      </c>
      <c r="G216" s="5" t="n">
        <v>58.47</v>
      </c>
      <c r="H216" s="5" t="n">
        <v>584.75</v>
      </c>
      <c r="I216" s="6" t="n">
        <v>0.2</v>
      </c>
      <c r="J216" s="5" t="n">
        <v>467.8</v>
      </c>
      <c r="K216" s="6" t="n">
        <v>0.09</v>
      </c>
      <c r="L216" s="5" t="n">
        <v>42.1</v>
      </c>
      <c r="M216" s="6" t="n">
        <v>0.09</v>
      </c>
      <c r="N216" s="5" t="n">
        <v>42.1</v>
      </c>
      <c r="O216" s="5" t="n">
        <f aca="false">J216+L216+N216</f>
        <v>552</v>
      </c>
      <c r="P216" s="5" t="n">
        <f aca="false">ROUND(H216*1.18/F216,2)</f>
        <v>69</v>
      </c>
      <c r="Q216" s="5" t="n">
        <f aca="false">ROUND(H216*0.8,2)</f>
        <v>467.8</v>
      </c>
      <c r="R216" s="5" t="n">
        <f aca="false">ROUND(Q216-J216,2)</f>
        <v>0</v>
      </c>
      <c r="S216" s="5" t="n">
        <f aca="false">ROUND(J216*9%,2)</f>
        <v>42.1</v>
      </c>
      <c r="T216" s="5" t="n">
        <f aca="false">ROUND(S216-L216,2)</f>
        <v>0</v>
      </c>
      <c r="U216" s="4" t="n">
        <v>7</v>
      </c>
      <c r="V216" s="4" t="s">
        <v>26</v>
      </c>
      <c r="W216" s="7"/>
      <c r="X216" s="5" t="n">
        <f aca="false">ROUND(J216/F216,2)</f>
        <v>46.78</v>
      </c>
    </row>
    <row r="217" customFormat="false" ht="15" hidden="false" customHeight="false" outlineLevel="0" collapsed="false">
      <c r="A217" s="3" t="n">
        <v>216</v>
      </c>
      <c r="B217" s="3" t="s">
        <v>482</v>
      </c>
      <c r="C217" s="3" t="s">
        <v>483</v>
      </c>
      <c r="D217" s="4" t="s">
        <v>34</v>
      </c>
      <c r="E217" s="5" t="n">
        <v>142</v>
      </c>
      <c r="F217" s="4" t="n">
        <v>10</v>
      </c>
      <c r="G217" s="5" t="n">
        <v>120.34</v>
      </c>
      <c r="H217" s="5" t="n">
        <v>1203.39</v>
      </c>
      <c r="I217" s="6" t="n">
        <v>0.2</v>
      </c>
      <c r="J217" s="5" t="n">
        <v>962.71</v>
      </c>
      <c r="K217" s="6" t="n">
        <v>0.09</v>
      </c>
      <c r="L217" s="5" t="n">
        <v>86.64</v>
      </c>
      <c r="M217" s="6" t="n">
        <v>0.09</v>
      </c>
      <c r="N217" s="5" t="n">
        <v>86.64</v>
      </c>
      <c r="O217" s="5" t="n">
        <f aca="false">J217+L217+N217</f>
        <v>1135.99</v>
      </c>
      <c r="P217" s="5" t="n">
        <f aca="false">ROUND(H217*1.18/F217,2)</f>
        <v>142</v>
      </c>
      <c r="Q217" s="5" t="n">
        <f aca="false">ROUND(H217*0.8,2)</f>
        <v>962.71</v>
      </c>
      <c r="R217" s="5" t="n">
        <f aca="false">ROUND(Q217-J217,2)</f>
        <v>0</v>
      </c>
      <c r="S217" s="5" t="n">
        <f aca="false">ROUND(J217*9%,2)</f>
        <v>86.64</v>
      </c>
      <c r="T217" s="5" t="n">
        <f aca="false">ROUND(S217-L217,2)</f>
        <v>0</v>
      </c>
      <c r="U217" s="4" t="n">
        <v>7</v>
      </c>
      <c r="V217" s="4" t="s">
        <v>26</v>
      </c>
      <c r="W217" s="7"/>
      <c r="X217" s="5" t="n">
        <f aca="false">ROUND(J217/F217,2)</f>
        <v>96.27</v>
      </c>
    </row>
    <row r="218" customFormat="false" ht="15" hidden="false" customHeight="false" outlineLevel="0" collapsed="false">
      <c r="A218" s="3" t="n">
        <v>217</v>
      </c>
      <c r="B218" s="3" t="s">
        <v>484</v>
      </c>
      <c r="C218" s="3" t="s">
        <v>485</v>
      </c>
      <c r="D218" s="4" t="s">
        <v>405</v>
      </c>
      <c r="E218" s="5" t="n">
        <v>60</v>
      </c>
      <c r="F218" s="4" t="n">
        <v>10</v>
      </c>
      <c r="G218" s="5" t="n">
        <v>50.85</v>
      </c>
      <c r="H218" s="5" t="n">
        <v>508.47</v>
      </c>
      <c r="I218" s="6" t="n">
        <v>0.2</v>
      </c>
      <c r="J218" s="5" t="n">
        <v>406.78</v>
      </c>
      <c r="K218" s="6" t="n">
        <v>0.09</v>
      </c>
      <c r="L218" s="5" t="n">
        <v>36.61</v>
      </c>
      <c r="M218" s="6" t="n">
        <v>0.09</v>
      </c>
      <c r="N218" s="5" t="n">
        <v>36.61</v>
      </c>
      <c r="O218" s="5" t="n">
        <f aca="false">J218+L218+N218</f>
        <v>480</v>
      </c>
      <c r="P218" s="5" t="n">
        <f aca="false">ROUND(H218*1.18/F218,2)</f>
        <v>60</v>
      </c>
      <c r="Q218" s="5" t="n">
        <f aca="false">ROUND(H218*0.8,2)</f>
        <v>406.78</v>
      </c>
      <c r="R218" s="5" t="n">
        <f aca="false">ROUND(Q218-J218,2)</f>
        <v>0</v>
      </c>
      <c r="S218" s="5" t="n">
        <f aca="false">ROUND(J218*9%,2)</f>
        <v>36.61</v>
      </c>
      <c r="T218" s="5" t="n">
        <f aca="false">ROUND(S218-L218,2)</f>
        <v>0</v>
      </c>
      <c r="U218" s="4" t="n">
        <v>7</v>
      </c>
      <c r="V218" s="4" t="s">
        <v>26</v>
      </c>
      <c r="W218" s="7"/>
      <c r="X218" s="5" t="n">
        <f aca="false">ROUND(J218/F218,2)</f>
        <v>40.68</v>
      </c>
    </row>
    <row r="219" customFormat="false" ht="15" hidden="false" customHeight="false" outlineLevel="0" collapsed="false">
      <c r="A219" s="3" t="n">
        <v>218</v>
      </c>
      <c r="B219" s="3" t="s">
        <v>486</v>
      </c>
      <c r="C219" s="3" t="s">
        <v>487</v>
      </c>
      <c r="D219" s="4" t="s">
        <v>34</v>
      </c>
      <c r="E219" s="5" t="n">
        <v>539</v>
      </c>
      <c r="F219" s="4" t="n">
        <v>12</v>
      </c>
      <c r="G219" s="5" t="n">
        <v>456.78</v>
      </c>
      <c r="H219" s="5" t="n">
        <v>5481.36</v>
      </c>
      <c r="I219" s="6" t="n">
        <v>0.2</v>
      </c>
      <c r="J219" s="5" t="n">
        <v>4385.08</v>
      </c>
      <c r="K219" s="6" t="n">
        <v>0.09</v>
      </c>
      <c r="L219" s="5" t="n">
        <v>394.66</v>
      </c>
      <c r="M219" s="6" t="n">
        <v>0.09</v>
      </c>
      <c r="N219" s="5" t="n">
        <v>394.66</v>
      </c>
      <c r="O219" s="5" t="n">
        <f aca="false">J219+L219+N219</f>
        <v>5174.4</v>
      </c>
      <c r="P219" s="5" t="n">
        <f aca="false">ROUND(H219*1.18/F219,2)</f>
        <v>539</v>
      </c>
      <c r="Q219" s="5" t="n">
        <f aca="false">ROUND(H219*0.8,2)</f>
        <v>4385.09</v>
      </c>
      <c r="R219" s="5" t="n">
        <f aca="false">ROUND(Q219-J219,2)</f>
        <v>0.01</v>
      </c>
      <c r="S219" s="5" t="n">
        <f aca="false">ROUND(J219*9%,2)</f>
        <v>394.66</v>
      </c>
      <c r="T219" s="5" t="n">
        <f aca="false">ROUND(S219-L219,2)</f>
        <v>0</v>
      </c>
      <c r="U219" s="4" t="n">
        <v>7</v>
      </c>
      <c r="V219" s="4" t="s">
        <v>26</v>
      </c>
      <c r="W219" s="7"/>
      <c r="X219" s="5" t="n">
        <f aca="false">ROUND(J219/F219,2)</f>
        <v>365.42</v>
      </c>
    </row>
    <row r="220" customFormat="false" ht="15" hidden="false" customHeight="false" outlineLevel="0" collapsed="false">
      <c r="A220" s="3" t="n">
        <v>219</v>
      </c>
      <c r="B220" s="3" t="s">
        <v>488</v>
      </c>
      <c r="C220" s="3" t="s">
        <v>489</v>
      </c>
      <c r="D220" s="4" t="s">
        <v>34</v>
      </c>
      <c r="E220" s="5" t="n">
        <v>470</v>
      </c>
      <c r="F220" s="4" t="n">
        <v>12</v>
      </c>
      <c r="G220" s="5" t="n">
        <v>398.31</v>
      </c>
      <c r="H220" s="5" t="n">
        <v>4779.66</v>
      </c>
      <c r="I220" s="6" t="n">
        <v>0.2</v>
      </c>
      <c r="J220" s="5" t="n">
        <v>3823.73</v>
      </c>
      <c r="K220" s="6" t="n">
        <v>0.09</v>
      </c>
      <c r="L220" s="5" t="n">
        <v>344.14</v>
      </c>
      <c r="M220" s="6" t="n">
        <v>0.09</v>
      </c>
      <c r="N220" s="5" t="n">
        <v>344.14</v>
      </c>
      <c r="O220" s="5" t="n">
        <f aca="false">J220+L220+N220</f>
        <v>4512.01</v>
      </c>
      <c r="P220" s="5" t="n">
        <f aca="false">ROUND(H220*1.18/F220,2)</f>
        <v>470</v>
      </c>
      <c r="Q220" s="5" t="n">
        <f aca="false">ROUND(H220*0.8,2)</f>
        <v>3823.73</v>
      </c>
      <c r="R220" s="5" t="n">
        <f aca="false">ROUND(Q220-J220,2)</f>
        <v>0</v>
      </c>
      <c r="S220" s="5" t="n">
        <f aca="false">ROUND(J220*9%,2)</f>
        <v>344.14</v>
      </c>
      <c r="T220" s="5" t="n">
        <f aca="false">ROUND(S220-L220,2)</f>
        <v>0</v>
      </c>
      <c r="U220" s="4" t="n">
        <v>7</v>
      </c>
      <c r="V220" s="4" t="s">
        <v>26</v>
      </c>
      <c r="W220" s="7"/>
      <c r="X220" s="5" t="n">
        <f aca="false">ROUND(J220/F220,2)</f>
        <v>318.64</v>
      </c>
    </row>
    <row r="221" customFormat="false" ht="15" hidden="false" customHeight="false" outlineLevel="0" collapsed="false">
      <c r="A221" s="3" t="n">
        <v>220</v>
      </c>
      <c r="B221" s="3" t="s">
        <v>490</v>
      </c>
      <c r="C221" s="3" t="s">
        <v>491</v>
      </c>
      <c r="D221" s="4" t="s">
        <v>34</v>
      </c>
      <c r="E221" s="5" t="n">
        <v>737</v>
      </c>
      <c r="F221" s="4" t="n">
        <v>5</v>
      </c>
      <c r="G221" s="5" t="n">
        <v>624.58</v>
      </c>
      <c r="H221" s="5" t="n">
        <v>3122.88</v>
      </c>
      <c r="I221" s="6" t="n">
        <v>0.2</v>
      </c>
      <c r="J221" s="5" t="n">
        <v>2498.31</v>
      </c>
      <c r="K221" s="6" t="n">
        <v>0.09</v>
      </c>
      <c r="L221" s="5" t="n">
        <v>224.85</v>
      </c>
      <c r="M221" s="6" t="n">
        <v>0.09</v>
      </c>
      <c r="N221" s="5" t="n">
        <v>224.85</v>
      </c>
      <c r="O221" s="5" t="n">
        <f aca="false">J221+L221+N221</f>
        <v>2948.01</v>
      </c>
      <c r="P221" s="5" t="n">
        <f aca="false">ROUND(H221*1.18/F221,2)</f>
        <v>737</v>
      </c>
      <c r="Q221" s="5" t="n">
        <f aca="false">ROUND(H221*0.8,2)</f>
        <v>2498.3</v>
      </c>
      <c r="R221" s="5" t="n">
        <f aca="false">ROUND(Q221-J221,2)</f>
        <v>-0.01</v>
      </c>
      <c r="S221" s="5" t="n">
        <f aca="false">ROUND(J221*9%,2)</f>
        <v>224.85</v>
      </c>
      <c r="T221" s="5" t="n">
        <f aca="false">ROUND(S221-L221,2)</f>
        <v>0</v>
      </c>
      <c r="U221" s="4" t="n">
        <v>7</v>
      </c>
      <c r="V221" s="4" t="s">
        <v>26</v>
      </c>
      <c r="W221" s="7"/>
      <c r="X221" s="5" t="n">
        <f aca="false">ROUND(J221/F221,2)</f>
        <v>499.66</v>
      </c>
    </row>
    <row r="222" customFormat="false" ht="15" hidden="false" customHeight="false" outlineLevel="0" collapsed="false">
      <c r="A222" s="3" t="n">
        <v>221</v>
      </c>
      <c r="B222" s="3" t="s">
        <v>492</v>
      </c>
      <c r="C222" s="3" t="s">
        <v>493</v>
      </c>
      <c r="D222" s="4" t="s">
        <v>34</v>
      </c>
      <c r="E222" s="5" t="n">
        <v>783</v>
      </c>
      <c r="F222" s="4" t="n">
        <v>5</v>
      </c>
      <c r="G222" s="5" t="n">
        <v>663.56</v>
      </c>
      <c r="H222" s="5" t="n">
        <v>3317.8</v>
      </c>
      <c r="I222" s="6" t="n">
        <v>0.2</v>
      </c>
      <c r="J222" s="5" t="n">
        <v>2654.24</v>
      </c>
      <c r="K222" s="6" t="n">
        <v>0.09</v>
      </c>
      <c r="L222" s="5" t="n">
        <v>238.88</v>
      </c>
      <c r="M222" s="6" t="n">
        <v>0.09</v>
      </c>
      <c r="N222" s="5" t="n">
        <v>238.88</v>
      </c>
      <c r="O222" s="5" t="n">
        <f aca="false">J222+L222+N222</f>
        <v>3132</v>
      </c>
      <c r="P222" s="5" t="n">
        <f aca="false">ROUND(H222*1.18/F222,2)</f>
        <v>783</v>
      </c>
      <c r="Q222" s="5" t="n">
        <f aca="false">ROUND(H222*0.8,2)</f>
        <v>2654.24</v>
      </c>
      <c r="R222" s="5" t="n">
        <f aca="false">ROUND(Q222-J222,2)</f>
        <v>0</v>
      </c>
      <c r="S222" s="5" t="n">
        <f aca="false">ROUND(J222*9%,2)</f>
        <v>238.88</v>
      </c>
      <c r="T222" s="5" t="n">
        <f aca="false">ROUND(S222-L222,2)</f>
        <v>0</v>
      </c>
      <c r="U222" s="4" t="n">
        <v>7</v>
      </c>
      <c r="V222" s="4" t="s">
        <v>26</v>
      </c>
      <c r="W222" s="7"/>
      <c r="X222" s="5" t="n">
        <f aca="false">ROUND(J222/F222,2)</f>
        <v>530.85</v>
      </c>
    </row>
    <row r="223" customFormat="false" ht="15" hidden="false" customHeight="false" outlineLevel="0" collapsed="false">
      <c r="A223" s="3" t="n">
        <v>222</v>
      </c>
      <c r="B223" s="3" t="s">
        <v>494</v>
      </c>
      <c r="C223" s="3" t="s">
        <v>495</v>
      </c>
      <c r="D223" s="4" t="s">
        <v>363</v>
      </c>
      <c r="E223" s="5" t="n">
        <v>75</v>
      </c>
      <c r="F223" s="4" t="n">
        <v>30</v>
      </c>
      <c r="G223" s="5" t="n">
        <v>63.56</v>
      </c>
      <c r="H223" s="5" t="n">
        <v>1906.78</v>
      </c>
      <c r="I223" s="6" t="n">
        <v>0.2</v>
      </c>
      <c r="J223" s="5" t="n">
        <v>1525.42</v>
      </c>
      <c r="K223" s="6" t="n">
        <v>0.09</v>
      </c>
      <c r="L223" s="5" t="n">
        <v>137.29</v>
      </c>
      <c r="M223" s="6" t="n">
        <v>0.09</v>
      </c>
      <c r="N223" s="5" t="n">
        <v>137.29</v>
      </c>
      <c r="O223" s="5" t="n">
        <f aca="false">J223+L223+N223</f>
        <v>1800</v>
      </c>
      <c r="P223" s="5" t="n">
        <f aca="false">ROUND(H223*1.18/F223,2)</f>
        <v>75</v>
      </c>
      <c r="Q223" s="5" t="n">
        <f aca="false">ROUND(H223*0.8,2)</f>
        <v>1525.42</v>
      </c>
      <c r="R223" s="5" t="n">
        <f aca="false">ROUND(Q223-J223,2)</f>
        <v>0</v>
      </c>
      <c r="S223" s="5" t="n">
        <f aca="false">ROUND(J223*9%,2)</f>
        <v>137.29</v>
      </c>
      <c r="T223" s="5" t="n">
        <f aca="false">ROUND(S223-L223,2)</f>
        <v>0</v>
      </c>
      <c r="U223" s="4" t="n">
        <v>7</v>
      </c>
      <c r="V223" s="4" t="s">
        <v>26</v>
      </c>
      <c r="W223" s="7"/>
      <c r="X223" s="5" t="n">
        <f aca="false">ROUND(J223/F223,2)</f>
        <v>50.85</v>
      </c>
    </row>
    <row r="224" customFormat="false" ht="15" hidden="false" customHeight="false" outlineLevel="0" collapsed="false">
      <c r="A224" s="3" t="n">
        <v>223</v>
      </c>
      <c r="B224" s="3" t="s">
        <v>496</v>
      </c>
      <c r="C224" s="3" t="s">
        <v>497</v>
      </c>
      <c r="D224" s="4" t="s">
        <v>363</v>
      </c>
      <c r="E224" s="5" t="n">
        <v>75</v>
      </c>
      <c r="F224" s="4" t="n">
        <v>30</v>
      </c>
      <c r="G224" s="5" t="n">
        <v>63.56</v>
      </c>
      <c r="H224" s="5" t="n">
        <v>1906.78</v>
      </c>
      <c r="I224" s="6" t="n">
        <v>0.2</v>
      </c>
      <c r="J224" s="5" t="n">
        <v>1525.42</v>
      </c>
      <c r="K224" s="6" t="n">
        <v>0.09</v>
      </c>
      <c r="L224" s="5" t="n">
        <v>137.29</v>
      </c>
      <c r="M224" s="6" t="n">
        <v>0.09</v>
      </c>
      <c r="N224" s="5" t="n">
        <v>137.29</v>
      </c>
      <c r="O224" s="5" t="n">
        <f aca="false">J224+L224+N224</f>
        <v>1800</v>
      </c>
      <c r="P224" s="5" t="n">
        <f aca="false">ROUND(H224*1.18/F224,2)</f>
        <v>75</v>
      </c>
      <c r="Q224" s="5" t="n">
        <f aca="false">ROUND(H224*0.8,2)</f>
        <v>1525.42</v>
      </c>
      <c r="R224" s="5" t="n">
        <f aca="false">ROUND(Q224-J224,2)</f>
        <v>0</v>
      </c>
      <c r="S224" s="5" t="n">
        <f aca="false">ROUND(J224*9%,2)</f>
        <v>137.29</v>
      </c>
      <c r="T224" s="5" t="n">
        <f aca="false">ROUND(S224-L224,2)</f>
        <v>0</v>
      </c>
      <c r="U224" s="4" t="n">
        <v>7</v>
      </c>
      <c r="V224" s="4" t="s">
        <v>26</v>
      </c>
      <c r="W224" s="7"/>
      <c r="X224" s="5" t="n">
        <f aca="false">ROUND(J224/F224,2)</f>
        <v>50.85</v>
      </c>
    </row>
    <row r="225" customFormat="false" ht="15" hidden="false" customHeight="false" outlineLevel="0" collapsed="false">
      <c r="A225" s="3" t="n">
        <v>224</v>
      </c>
      <c r="B225" s="3" t="s">
        <v>498</v>
      </c>
      <c r="C225" s="3" t="s">
        <v>499</v>
      </c>
      <c r="D225" s="4" t="s">
        <v>34</v>
      </c>
      <c r="E225" s="5" t="n">
        <v>46</v>
      </c>
      <c r="F225" s="4" t="n">
        <v>20</v>
      </c>
      <c r="G225" s="5" t="n">
        <v>38.98</v>
      </c>
      <c r="H225" s="5" t="n">
        <v>779.66</v>
      </c>
      <c r="I225" s="6" t="n">
        <v>0.2</v>
      </c>
      <c r="J225" s="5" t="n">
        <v>623.73</v>
      </c>
      <c r="K225" s="6" t="n">
        <v>0.09</v>
      </c>
      <c r="L225" s="5" t="n">
        <v>56.14</v>
      </c>
      <c r="M225" s="6" t="n">
        <v>0.09</v>
      </c>
      <c r="N225" s="5" t="n">
        <v>56.14</v>
      </c>
      <c r="O225" s="5" t="n">
        <f aca="false">J225+L225+N225</f>
        <v>736.01</v>
      </c>
      <c r="P225" s="5" t="n">
        <f aca="false">ROUND(H225*1.18/F225,2)</f>
        <v>46</v>
      </c>
      <c r="Q225" s="5" t="n">
        <f aca="false">ROUND(H225*0.8,2)</f>
        <v>623.73</v>
      </c>
      <c r="R225" s="5" t="n">
        <f aca="false">ROUND(Q225-J225,2)</f>
        <v>0</v>
      </c>
      <c r="S225" s="5" t="n">
        <f aca="false">ROUND(J225*9%,2)</f>
        <v>56.14</v>
      </c>
      <c r="T225" s="5" t="n">
        <f aca="false">ROUND(S225-L225,2)</f>
        <v>0</v>
      </c>
      <c r="U225" s="4" t="n">
        <v>7</v>
      </c>
      <c r="V225" s="4" t="s">
        <v>26</v>
      </c>
      <c r="W225" s="7"/>
      <c r="X225" s="5" t="n">
        <f aca="false">ROUND(J225/F225,2)</f>
        <v>31.19</v>
      </c>
    </row>
    <row r="226" customFormat="false" ht="15" hidden="false" customHeight="false" outlineLevel="0" collapsed="false">
      <c r="A226" s="3" t="n">
        <v>225</v>
      </c>
      <c r="B226" s="3" t="s">
        <v>500</v>
      </c>
      <c r="C226" s="3" t="s">
        <v>501</v>
      </c>
      <c r="D226" s="4" t="s">
        <v>34</v>
      </c>
      <c r="E226" s="5" t="n">
        <v>414</v>
      </c>
      <c r="F226" s="4" t="n">
        <v>3</v>
      </c>
      <c r="G226" s="5" t="n">
        <v>350.85</v>
      </c>
      <c r="H226" s="5" t="n">
        <v>1052.54</v>
      </c>
      <c r="I226" s="6" t="n">
        <v>0.2</v>
      </c>
      <c r="J226" s="5" t="n">
        <v>842.03</v>
      </c>
      <c r="K226" s="6" t="n">
        <v>0.09</v>
      </c>
      <c r="L226" s="5" t="n">
        <v>75.78</v>
      </c>
      <c r="M226" s="6" t="n">
        <v>0.09</v>
      </c>
      <c r="N226" s="5" t="n">
        <v>75.78</v>
      </c>
      <c r="O226" s="5" t="n">
        <f aca="false">J226+L226+N226</f>
        <v>993.59</v>
      </c>
      <c r="P226" s="5" t="n">
        <f aca="false">ROUND(H226*1.18/F226,2)</f>
        <v>414</v>
      </c>
      <c r="Q226" s="5" t="n">
        <f aca="false">ROUND(H226*0.8,2)</f>
        <v>842.03</v>
      </c>
      <c r="R226" s="5" t="n">
        <f aca="false">ROUND(Q226-J226,2)</f>
        <v>0</v>
      </c>
      <c r="S226" s="5" t="n">
        <f aca="false">ROUND(J226*9%,2)</f>
        <v>75.78</v>
      </c>
      <c r="T226" s="5" t="n">
        <f aca="false">ROUND(S226-L226,2)</f>
        <v>0</v>
      </c>
      <c r="U226" s="4" t="n">
        <v>7</v>
      </c>
      <c r="V226" s="4" t="s">
        <v>26</v>
      </c>
      <c r="W226" s="7"/>
      <c r="X226" s="5" t="n">
        <f aca="false">ROUND(J226/F226,2)</f>
        <v>280.68</v>
      </c>
    </row>
    <row r="227" customFormat="false" ht="15" hidden="false" customHeight="false" outlineLevel="0" collapsed="false">
      <c r="A227" s="3" t="n">
        <v>226</v>
      </c>
      <c r="B227" s="3" t="s">
        <v>502</v>
      </c>
      <c r="C227" s="3" t="s">
        <v>503</v>
      </c>
      <c r="D227" s="4" t="s">
        <v>34</v>
      </c>
      <c r="E227" s="5" t="n">
        <v>165</v>
      </c>
      <c r="F227" s="4" t="n">
        <v>20</v>
      </c>
      <c r="G227" s="5" t="n">
        <v>139.83</v>
      </c>
      <c r="H227" s="5" t="n">
        <v>2796.61</v>
      </c>
      <c r="I227" s="6" t="n">
        <v>0.2</v>
      </c>
      <c r="J227" s="5" t="n">
        <v>2237.29</v>
      </c>
      <c r="K227" s="6" t="n">
        <v>0.09</v>
      </c>
      <c r="L227" s="5" t="n">
        <v>201.36</v>
      </c>
      <c r="M227" s="6" t="n">
        <v>0.09</v>
      </c>
      <c r="N227" s="5" t="n">
        <v>201.36</v>
      </c>
      <c r="O227" s="5" t="n">
        <f aca="false">J227+L227+N227</f>
        <v>2640.01</v>
      </c>
      <c r="P227" s="5" t="n">
        <f aca="false">ROUND(H227*1.18/F227,2)</f>
        <v>165</v>
      </c>
      <c r="Q227" s="5" t="n">
        <f aca="false">ROUND(H227*0.8,2)</f>
        <v>2237.29</v>
      </c>
      <c r="R227" s="5" t="n">
        <f aca="false">ROUND(Q227-J227,2)</f>
        <v>0</v>
      </c>
      <c r="S227" s="5" t="n">
        <f aca="false">ROUND(J227*9%,2)</f>
        <v>201.36</v>
      </c>
      <c r="T227" s="5" t="n">
        <f aca="false">ROUND(S227-L227,2)</f>
        <v>0</v>
      </c>
      <c r="U227" s="4" t="n">
        <v>7</v>
      </c>
      <c r="V227" s="4" t="s">
        <v>26</v>
      </c>
      <c r="W227" s="7"/>
      <c r="X227" s="5" t="n">
        <f aca="false">ROUND(J227/F227,2)</f>
        <v>111.86</v>
      </c>
    </row>
    <row r="228" customFormat="false" ht="15" hidden="false" customHeight="false" outlineLevel="0" collapsed="false">
      <c r="A228" s="3" t="n">
        <v>227</v>
      </c>
      <c r="B228" s="3" t="s">
        <v>504</v>
      </c>
      <c r="C228" s="3" t="s">
        <v>505</v>
      </c>
      <c r="D228" s="4" t="s">
        <v>34</v>
      </c>
      <c r="E228" s="5" t="n">
        <v>225</v>
      </c>
      <c r="F228" s="4" t="n">
        <v>2</v>
      </c>
      <c r="G228" s="5" t="n">
        <v>190.68</v>
      </c>
      <c r="H228" s="5" t="n">
        <v>381.36</v>
      </c>
      <c r="I228" s="6" t="n">
        <v>0.2</v>
      </c>
      <c r="J228" s="5" t="n">
        <v>305.08</v>
      </c>
      <c r="K228" s="6" t="n">
        <v>0.09</v>
      </c>
      <c r="L228" s="5" t="n">
        <v>27.46</v>
      </c>
      <c r="M228" s="6" t="n">
        <v>0.09</v>
      </c>
      <c r="N228" s="5" t="n">
        <v>27.46</v>
      </c>
      <c r="O228" s="5" t="n">
        <f aca="false">J228+L228+N228</f>
        <v>360</v>
      </c>
      <c r="P228" s="5" t="n">
        <f aca="false">ROUND(H228*1.18/F228,2)</f>
        <v>225</v>
      </c>
      <c r="Q228" s="5" t="n">
        <f aca="false">ROUND(H228*0.8,2)</f>
        <v>305.09</v>
      </c>
      <c r="R228" s="5" t="n">
        <f aca="false">ROUND(Q228-J228,2)</f>
        <v>0.01</v>
      </c>
      <c r="S228" s="5" t="n">
        <f aca="false">ROUND(J228*9%,2)</f>
        <v>27.46</v>
      </c>
      <c r="T228" s="5" t="n">
        <f aca="false">ROUND(S228-L228,2)</f>
        <v>0</v>
      </c>
      <c r="U228" s="4" t="n">
        <v>7</v>
      </c>
      <c r="V228" s="4" t="s">
        <v>26</v>
      </c>
      <c r="W228" s="7"/>
      <c r="X228" s="5" t="n">
        <f aca="false">ROUND(J228/F228,2)</f>
        <v>152.54</v>
      </c>
    </row>
    <row r="229" customFormat="false" ht="15" hidden="false" customHeight="false" outlineLevel="0" collapsed="false">
      <c r="A229" s="3" t="n">
        <v>228</v>
      </c>
      <c r="B229" s="3" t="s">
        <v>504</v>
      </c>
      <c r="C229" s="3" t="s">
        <v>506</v>
      </c>
      <c r="D229" s="4" t="s">
        <v>34</v>
      </c>
      <c r="E229" s="5" t="n">
        <v>225</v>
      </c>
      <c r="F229" s="4" t="n">
        <v>2</v>
      </c>
      <c r="G229" s="5" t="n">
        <v>190.68</v>
      </c>
      <c r="H229" s="5" t="n">
        <v>381.36</v>
      </c>
      <c r="I229" s="6" t="n">
        <v>0.2</v>
      </c>
      <c r="J229" s="5" t="n">
        <v>305.08</v>
      </c>
      <c r="K229" s="6" t="n">
        <v>0.09</v>
      </c>
      <c r="L229" s="5" t="n">
        <v>27.46</v>
      </c>
      <c r="M229" s="6" t="n">
        <v>0.09</v>
      </c>
      <c r="N229" s="5" t="n">
        <v>27.46</v>
      </c>
      <c r="O229" s="5" t="n">
        <f aca="false">J229+L229+N229</f>
        <v>360</v>
      </c>
      <c r="P229" s="5" t="n">
        <f aca="false">ROUND(H229*1.18/F229,2)</f>
        <v>225</v>
      </c>
      <c r="Q229" s="5" t="n">
        <f aca="false">ROUND(H229*0.8,2)</f>
        <v>305.09</v>
      </c>
      <c r="R229" s="5" t="n">
        <f aca="false">ROUND(Q229-J229,2)</f>
        <v>0.01</v>
      </c>
      <c r="S229" s="5" t="n">
        <f aca="false">ROUND(J229*9%,2)</f>
        <v>27.46</v>
      </c>
      <c r="T229" s="5" t="n">
        <f aca="false">ROUND(S229-L229,2)</f>
        <v>0</v>
      </c>
      <c r="U229" s="4" t="n">
        <v>7</v>
      </c>
      <c r="V229" s="4" t="s">
        <v>26</v>
      </c>
      <c r="W229" s="7"/>
      <c r="X229" s="5" t="n">
        <f aca="false">ROUND(J229/F229,2)</f>
        <v>152.54</v>
      </c>
    </row>
    <row r="230" customFormat="false" ht="15" hidden="false" customHeight="false" outlineLevel="0" collapsed="false">
      <c r="A230" s="3" t="n">
        <v>229</v>
      </c>
      <c r="B230" s="3" t="s">
        <v>507</v>
      </c>
      <c r="C230" s="3" t="s">
        <v>508</v>
      </c>
      <c r="D230" s="4" t="s">
        <v>34</v>
      </c>
      <c r="E230" s="5" t="n">
        <v>207</v>
      </c>
      <c r="F230" s="4" t="n">
        <v>5</v>
      </c>
      <c r="G230" s="5" t="n">
        <v>175.42</v>
      </c>
      <c r="H230" s="5" t="n">
        <v>877.12</v>
      </c>
      <c r="I230" s="6" t="n">
        <v>0.2</v>
      </c>
      <c r="J230" s="5" t="n">
        <v>701.69</v>
      </c>
      <c r="K230" s="6" t="n">
        <v>0.09</v>
      </c>
      <c r="L230" s="5" t="n">
        <v>63.15</v>
      </c>
      <c r="M230" s="6" t="n">
        <v>0.09</v>
      </c>
      <c r="N230" s="5" t="n">
        <v>63.15</v>
      </c>
      <c r="O230" s="5" t="n">
        <f aca="false">J230+L230+N230</f>
        <v>827.99</v>
      </c>
      <c r="P230" s="5" t="n">
        <f aca="false">ROUND(H230*1.18/F230,2)</f>
        <v>207</v>
      </c>
      <c r="Q230" s="5" t="n">
        <f aca="false">ROUND(H230*0.8,2)</f>
        <v>701.7</v>
      </c>
      <c r="R230" s="5" t="n">
        <f aca="false">ROUND(Q230-J230,2)</f>
        <v>0.01</v>
      </c>
      <c r="S230" s="5" t="n">
        <f aca="false">ROUND(J230*9%,2)</f>
        <v>63.15</v>
      </c>
      <c r="T230" s="5" t="n">
        <f aca="false">ROUND(S230-L230,2)</f>
        <v>0</v>
      </c>
      <c r="U230" s="4" t="n">
        <v>7</v>
      </c>
      <c r="V230" s="4" t="s">
        <v>26</v>
      </c>
      <c r="W230" s="7"/>
      <c r="X230" s="5" t="n">
        <f aca="false">ROUND(J230/F230,2)</f>
        <v>140.34</v>
      </c>
    </row>
    <row r="231" customFormat="false" ht="15" hidden="false" customHeight="false" outlineLevel="0" collapsed="false">
      <c r="A231" s="3" t="n">
        <v>230</v>
      </c>
      <c r="B231" s="3" t="s">
        <v>507</v>
      </c>
      <c r="C231" s="3" t="s">
        <v>509</v>
      </c>
      <c r="D231" s="4" t="s">
        <v>34</v>
      </c>
      <c r="E231" s="5" t="n">
        <v>206</v>
      </c>
      <c r="F231" s="4" t="n">
        <v>5</v>
      </c>
      <c r="G231" s="5" t="n">
        <v>174.58</v>
      </c>
      <c r="H231" s="5" t="n">
        <v>872.88</v>
      </c>
      <c r="I231" s="6" t="n">
        <v>0.2</v>
      </c>
      <c r="J231" s="5" t="n">
        <v>698.31</v>
      </c>
      <c r="K231" s="6" t="n">
        <v>0.09</v>
      </c>
      <c r="L231" s="5" t="n">
        <v>62.85</v>
      </c>
      <c r="M231" s="6" t="n">
        <v>0.09</v>
      </c>
      <c r="N231" s="5" t="n">
        <v>62.85</v>
      </c>
      <c r="O231" s="5" t="n">
        <f aca="false">J231+L231+N231</f>
        <v>824.01</v>
      </c>
      <c r="P231" s="5" t="n">
        <f aca="false">ROUND(H231*1.18/F231,2)</f>
        <v>206</v>
      </c>
      <c r="Q231" s="5" t="n">
        <f aca="false">ROUND(H231*0.8,2)</f>
        <v>698.3</v>
      </c>
      <c r="R231" s="5" t="n">
        <f aca="false">ROUND(Q231-J231,2)</f>
        <v>-0.01</v>
      </c>
      <c r="S231" s="5" t="n">
        <f aca="false">ROUND(J231*9%,2)</f>
        <v>62.85</v>
      </c>
      <c r="T231" s="5" t="n">
        <f aca="false">ROUND(S231-L231,2)</f>
        <v>0</v>
      </c>
      <c r="U231" s="4" t="n">
        <v>7</v>
      </c>
      <c r="V231" s="4" t="s">
        <v>26</v>
      </c>
      <c r="W231" s="7"/>
      <c r="X231" s="5" t="n">
        <f aca="false">ROUND(J231/F231,2)</f>
        <v>139.66</v>
      </c>
    </row>
    <row r="232" customFormat="false" ht="15" hidden="false" customHeight="false" outlineLevel="0" collapsed="false">
      <c r="A232" s="3" t="n">
        <v>231</v>
      </c>
      <c r="B232" s="3" t="s">
        <v>510</v>
      </c>
      <c r="C232" s="3" t="s">
        <v>511</v>
      </c>
      <c r="D232" s="4" t="s">
        <v>34</v>
      </c>
      <c r="E232" s="5" t="n">
        <v>188</v>
      </c>
      <c r="F232" s="4" t="n">
        <v>2</v>
      </c>
      <c r="G232" s="5" t="n">
        <v>159.32</v>
      </c>
      <c r="H232" s="5" t="n">
        <v>318.64</v>
      </c>
      <c r="I232" s="6" t="n">
        <v>0.2</v>
      </c>
      <c r="J232" s="5" t="n">
        <v>254.92</v>
      </c>
      <c r="K232" s="6" t="n">
        <v>0.09</v>
      </c>
      <c r="L232" s="5" t="n">
        <v>22.94</v>
      </c>
      <c r="M232" s="6" t="n">
        <v>0.09</v>
      </c>
      <c r="N232" s="5" t="n">
        <v>22.94</v>
      </c>
      <c r="O232" s="5" t="n">
        <f aca="false">J232+L232+N232</f>
        <v>300.8</v>
      </c>
      <c r="P232" s="5" t="n">
        <f aca="false">ROUND(H232*1.18/F232,2)</f>
        <v>188</v>
      </c>
      <c r="Q232" s="5" t="n">
        <f aca="false">ROUND(H232*0.8,2)</f>
        <v>254.91</v>
      </c>
      <c r="R232" s="5" t="n">
        <f aca="false">ROUND(Q232-J232,2)</f>
        <v>-0.01</v>
      </c>
      <c r="S232" s="5" t="n">
        <f aca="false">ROUND(J232*9%,2)</f>
        <v>22.94</v>
      </c>
      <c r="T232" s="5" t="n">
        <f aca="false">ROUND(S232-L232,2)</f>
        <v>0</v>
      </c>
      <c r="U232" s="4" t="n">
        <v>7</v>
      </c>
      <c r="V232" s="4" t="s">
        <v>26</v>
      </c>
      <c r="W232" s="7"/>
      <c r="X232" s="5" t="n">
        <f aca="false">ROUND(J232/F232,2)</f>
        <v>127.46</v>
      </c>
    </row>
    <row r="233" customFormat="false" ht="15" hidden="false" customHeight="false" outlineLevel="0" collapsed="false">
      <c r="A233" s="3" t="n">
        <v>232</v>
      </c>
      <c r="B233" s="3" t="s">
        <v>512</v>
      </c>
      <c r="C233" s="3" t="s">
        <v>513</v>
      </c>
      <c r="D233" s="4" t="s">
        <v>514</v>
      </c>
      <c r="E233" s="5" t="n">
        <v>80</v>
      </c>
      <c r="F233" s="4" t="n">
        <v>10</v>
      </c>
      <c r="G233" s="5" t="n">
        <v>67.8</v>
      </c>
      <c r="H233" s="5" t="n">
        <v>677.97</v>
      </c>
      <c r="I233" s="6" t="n">
        <v>0.2</v>
      </c>
      <c r="J233" s="5" t="n">
        <v>542.37</v>
      </c>
      <c r="K233" s="6" t="n">
        <v>0.09</v>
      </c>
      <c r="L233" s="5" t="n">
        <v>48.81</v>
      </c>
      <c r="M233" s="6" t="n">
        <v>0.09</v>
      </c>
      <c r="N233" s="5" t="n">
        <v>48.81</v>
      </c>
      <c r="O233" s="5" t="n">
        <f aca="false">J233+L233+N233</f>
        <v>639.99</v>
      </c>
      <c r="P233" s="5" t="n">
        <f aca="false">ROUND(H233*1.18/F233,2)</f>
        <v>80</v>
      </c>
      <c r="Q233" s="5" t="n">
        <f aca="false">ROUND(H233*0.8,2)</f>
        <v>542.38</v>
      </c>
      <c r="R233" s="5" t="n">
        <f aca="false">ROUND(Q233-J233,2)</f>
        <v>0.01</v>
      </c>
      <c r="S233" s="5" t="n">
        <f aca="false">ROUND(J233*9%,2)</f>
        <v>48.81</v>
      </c>
      <c r="T233" s="5" t="n">
        <f aca="false">ROUND(S233-L233,2)</f>
        <v>0</v>
      </c>
      <c r="U233" s="4" t="n">
        <v>7</v>
      </c>
      <c r="V233" s="4" t="s">
        <v>26</v>
      </c>
      <c r="W233" s="7"/>
      <c r="X233" s="5" t="n">
        <f aca="false">ROUND(J233/F233,2)</f>
        <v>54.24</v>
      </c>
    </row>
    <row r="234" customFormat="false" ht="15" hidden="false" customHeight="false" outlineLevel="0" collapsed="false">
      <c r="A234" s="3" t="n">
        <v>233</v>
      </c>
      <c r="B234" s="3" t="s">
        <v>515</v>
      </c>
      <c r="C234" s="3" t="s">
        <v>516</v>
      </c>
      <c r="D234" s="4" t="s">
        <v>313</v>
      </c>
      <c r="E234" s="5" t="n">
        <v>32</v>
      </c>
      <c r="F234" s="4" t="n">
        <v>10</v>
      </c>
      <c r="G234" s="5" t="n">
        <v>27.12</v>
      </c>
      <c r="H234" s="5" t="n">
        <v>271.19</v>
      </c>
      <c r="I234" s="6" t="n">
        <v>0.2</v>
      </c>
      <c r="J234" s="5" t="n">
        <v>216.95</v>
      </c>
      <c r="K234" s="6" t="n">
        <v>0.09</v>
      </c>
      <c r="L234" s="5" t="n">
        <v>19.53</v>
      </c>
      <c r="M234" s="6" t="n">
        <v>0.09</v>
      </c>
      <c r="N234" s="5" t="n">
        <v>19.53</v>
      </c>
      <c r="O234" s="5" t="n">
        <f aca="false">J234+L234+N234</f>
        <v>256.01</v>
      </c>
      <c r="P234" s="5" t="n">
        <f aca="false">ROUND(H234*1.18/F234,2)</f>
        <v>32</v>
      </c>
      <c r="Q234" s="5" t="n">
        <f aca="false">ROUND(H234*0.8,2)</f>
        <v>216.95</v>
      </c>
      <c r="R234" s="5" t="n">
        <f aca="false">ROUND(Q234-J234,2)</f>
        <v>0</v>
      </c>
      <c r="S234" s="5" t="n">
        <f aca="false">ROUND(J234*9%,2)</f>
        <v>19.53</v>
      </c>
      <c r="T234" s="5" t="n">
        <f aca="false">ROUND(S234-L234,2)</f>
        <v>0</v>
      </c>
      <c r="U234" s="4" t="n">
        <v>8</v>
      </c>
      <c r="V234" s="4" t="s">
        <v>26</v>
      </c>
      <c r="W234" s="7"/>
      <c r="X234" s="5" t="n">
        <f aca="false">ROUND(J234/F234,2)</f>
        <v>21.7</v>
      </c>
    </row>
    <row r="235" customFormat="false" ht="15" hidden="false" customHeight="false" outlineLevel="0" collapsed="false">
      <c r="A235" s="3" t="n">
        <v>234</v>
      </c>
      <c r="B235" s="3" t="s">
        <v>517</v>
      </c>
      <c r="C235" s="3" t="s">
        <v>518</v>
      </c>
      <c r="D235" s="4" t="s">
        <v>358</v>
      </c>
      <c r="E235" s="5" t="n">
        <v>67</v>
      </c>
      <c r="F235" s="4" t="n">
        <v>10</v>
      </c>
      <c r="G235" s="5" t="n">
        <v>56.78</v>
      </c>
      <c r="H235" s="5" t="n">
        <v>567.8</v>
      </c>
      <c r="I235" s="6" t="n">
        <v>0.2</v>
      </c>
      <c r="J235" s="5" t="n">
        <v>454.24</v>
      </c>
      <c r="K235" s="6" t="n">
        <v>0.09</v>
      </c>
      <c r="L235" s="5" t="n">
        <v>40.88</v>
      </c>
      <c r="M235" s="6" t="n">
        <v>0.09</v>
      </c>
      <c r="N235" s="5" t="n">
        <v>40.88</v>
      </c>
      <c r="O235" s="5" t="n">
        <f aca="false">J235+L235+N235</f>
        <v>536</v>
      </c>
      <c r="P235" s="5" t="n">
        <f aca="false">ROUND(H235*1.18/F235,2)</f>
        <v>67</v>
      </c>
      <c r="Q235" s="5" t="n">
        <f aca="false">ROUND(H235*0.8,2)</f>
        <v>454.24</v>
      </c>
      <c r="R235" s="5" t="n">
        <f aca="false">ROUND(Q235-J235,2)</f>
        <v>0</v>
      </c>
      <c r="S235" s="5" t="n">
        <f aca="false">ROUND(J235*9%,2)</f>
        <v>40.88</v>
      </c>
      <c r="T235" s="5" t="n">
        <f aca="false">ROUND(S235-L235,2)</f>
        <v>0</v>
      </c>
      <c r="U235" s="4" t="n">
        <v>8</v>
      </c>
      <c r="V235" s="4" t="s">
        <v>26</v>
      </c>
      <c r="W235" s="7"/>
      <c r="X235" s="5" t="n">
        <f aca="false">ROUND(J235/F235,2)</f>
        <v>45.42</v>
      </c>
    </row>
    <row r="236" customFormat="false" ht="15" hidden="false" customHeight="false" outlineLevel="0" collapsed="false">
      <c r="A236" s="3" t="n">
        <v>235</v>
      </c>
      <c r="B236" s="3" t="s">
        <v>519</v>
      </c>
      <c r="C236" s="3" t="s">
        <v>520</v>
      </c>
      <c r="D236" s="4" t="s">
        <v>380</v>
      </c>
      <c r="E236" s="5" t="n">
        <v>580</v>
      </c>
      <c r="F236" s="4" t="n">
        <v>10</v>
      </c>
      <c r="G236" s="5" t="n">
        <v>491.53</v>
      </c>
      <c r="H236" s="5" t="n">
        <v>4915.25</v>
      </c>
      <c r="I236" s="6" t="n">
        <v>0.2</v>
      </c>
      <c r="J236" s="5" t="n">
        <v>3932.2</v>
      </c>
      <c r="K236" s="6" t="n">
        <v>0.09</v>
      </c>
      <c r="L236" s="5" t="n">
        <v>353.9</v>
      </c>
      <c r="M236" s="6" t="n">
        <v>0.09</v>
      </c>
      <c r="N236" s="5" t="n">
        <v>353.9</v>
      </c>
      <c r="O236" s="5" t="n">
        <f aca="false">J236+L236+N236</f>
        <v>4640</v>
      </c>
      <c r="P236" s="5" t="n">
        <f aca="false">ROUND(H236*1.18/F236,2)</f>
        <v>580</v>
      </c>
      <c r="Q236" s="5" t="n">
        <f aca="false">ROUND(H236*0.8,2)</f>
        <v>3932.2</v>
      </c>
      <c r="R236" s="5" t="n">
        <f aca="false">ROUND(Q236-J236,2)</f>
        <v>0</v>
      </c>
      <c r="S236" s="5" t="n">
        <f aca="false">ROUND(J236*9%,2)</f>
        <v>353.9</v>
      </c>
      <c r="T236" s="5" t="n">
        <f aca="false">ROUND(S236-L236,2)</f>
        <v>0</v>
      </c>
      <c r="U236" s="4" t="n">
        <v>8</v>
      </c>
      <c r="V236" s="4" t="s">
        <v>26</v>
      </c>
      <c r="W236" s="7"/>
      <c r="X236" s="5" t="n">
        <f aca="false">ROUND(J236/F236,2)</f>
        <v>393.22</v>
      </c>
    </row>
    <row r="237" customFormat="false" ht="15" hidden="false" customHeight="false" outlineLevel="0" collapsed="false">
      <c r="A237" s="3" t="n">
        <v>236</v>
      </c>
      <c r="B237" s="3" t="s">
        <v>521</v>
      </c>
      <c r="C237" s="3" t="s">
        <v>522</v>
      </c>
      <c r="D237" s="4" t="s">
        <v>380</v>
      </c>
      <c r="E237" s="5" t="n">
        <v>460</v>
      </c>
      <c r="F237" s="4" t="n">
        <v>5</v>
      </c>
      <c r="G237" s="5" t="n">
        <v>389.83</v>
      </c>
      <c r="H237" s="5" t="n">
        <v>1949.15</v>
      </c>
      <c r="I237" s="6" t="n">
        <v>0.2</v>
      </c>
      <c r="J237" s="5" t="n">
        <v>1559.32</v>
      </c>
      <c r="K237" s="6" t="n">
        <v>0.09</v>
      </c>
      <c r="L237" s="5" t="n">
        <v>140.34</v>
      </c>
      <c r="M237" s="6" t="n">
        <v>0.09</v>
      </c>
      <c r="N237" s="5" t="n">
        <v>140.34</v>
      </c>
      <c r="O237" s="5" t="n">
        <f aca="false">J237+L237+N237</f>
        <v>1840</v>
      </c>
      <c r="P237" s="5" t="n">
        <f aca="false">ROUND(H237*1.18/F237,2)</f>
        <v>460</v>
      </c>
      <c r="Q237" s="5" t="n">
        <f aca="false">ROUND(H237*0.8,2)</f>
        <v>1559.32</v>
      </c>
      <c r="R237" s="5" t="n">
        <f aca="false">ROUND(Q237-J237,2)</f>
        <v>0</v>
      </c>
      <c r="S237" s="5" t="n">
        <f aca="false">ROUND(J237*9%,2)</f>
        <v>140.34</v>
      </c>
      <c r="T237" s="5" t="n">
        <f aca="false">ROUND(S237-L237,2)</f>
        <v>0</v>
      </c>
      <c r="U237" s="4" t="n">
        <v>8</v>
      </c>
      <c r="V237" s="4" t="s">
        <v>26</v>
      </c>
      <c r="W237" s="7"/>
      <c r="X237" s="5" t="n">
        <f aca="false">ROUND(J237/F237,2)</f>
        <v>311.86</v>
      </c>
    </row>
    <row r="238" customFormat="false" ht="15" hidden="false" customHeight="false" outlineLevel="0" collapsed="false">
      <c r="A238" s="3" t="n">
        <v>237</v>
      </c>
      <c r="B238" s="3" t="s">
        <v>523</v>
      </c>
      <c r="C238" s="3" t="s">
        <v>524</v>
      </c>
      <c r="D238" s="4" t="s">
        <v>380</v>
      </c>
      <c r="E238" s="5" t="n">
        <v>200</v>
      </c>
      <c r="F238" s="4" t="n">
        <v>5</v>
      </c>
      <c r="G238" s="5" t="n">
        <v>169.49</v>
      </c>
      <c r="H238" s="5" t="n">
        <v>847.46</v>
      </c>
      <c r="I238" s="6" t="n">
        <v>0.2</v>
      </c>
      <c r="J238" s="5" t="n">
        <v>677.97</v>
      </c>
      <c r="K238" s="6" t="n">
        <v>0.09</v>
      </c>
      <c r="L238" s="5" t="n">
        <v>61.02</v>
      </c>
      <c r="M238" s="6" t="n">
        <v>0.09</v>
      </c>
      <c r="N238" s="5" t="n">
        <v>61.02</v>
      </c>
      <c r="O238" s="5" t="n">
        <f aca="false">J238+L238+N238</f>
        <v>800.01</v>
      </c>
      <c r="P238" s="5" t="n">
        <f aca="false">ROUND(H238*1.18/F238,2)</f>
        <v>200</v>
      </c>
      <c r="Q238" s="5" t="n">
        <f aca="false">ROUND(H238*0.8,2)</f>
        <v>677.97</v>
      </c>
      <c r="R238" s="5" t="n">
        <f aca="false">ROUND(Q238-J238,2)</f>
        <v>0</v>
      </c>
      <c r="S238" s="5" t="n">
        <f aca="false">ROUND(J238*9%,2)</f>
        <v>61.02</v>
      </c>
      <c r="T238" s="5" t="n">
        <f aca="false">ROUND(S238-L238,2)</f>
        <v>0</v>
      </c>
      <c r="U238" s="4" t="n">
        <v>8</v>
      </c>
      <c r="V238" s="4" t="s">
        <v>26</v>
      </c>
      <c r="W238" s="7"/>
      <c r="X238" s="5" t="n">
        <f aca="false">ROUND(J238/F238,2)</f>
        <v>135.59</v>
      </c>
    </row>
    <row r="239" customFormat="false" ht="15" hidden="false" customHeight="false" outlineLevel="0" collapsed="false">
      <c r="A239" s="8" t="s">
        <v>525</v>
      </c>
      <c r="B239" s="8"/>
      <c r="C239" s="8" t="s">
        <v>526</v>
      </c>
      <c r="D239" s="8"/>
      <c r="E239" s="8"/>
      <c r="F239" s="8" t="n">
        <f aca="false">SUM(F2:F238)</f>
        <v>2530</v>
      </c>
      <c r="G239" s="8"/>
      <c r="H239" s="9" t="n">
        <f aca="false">SUM(H2:H238)</f>
        <v>318542.4</v>
      </c>
      <c r="I239" s="8"/>
      <c r="J239" s="9" t="n">
        <f aca="false">SUM(J2:J238)</f>
        <v>254833.86</v>
      </c>
      <c r="K239" s="8"/>
      <c r="L239" s="9" t="n">
        <f aca="false">SUM(L2:L238)</f>
        <v>22935.05</v>
      </c>
      <c r="M239" s="8"/>
      <c r="N239" s="9" t="n">
        <f aca="false">SUM(N2:N238)</f>
        <v>22935.05</v>
      </c>
      <c r="O239" s="9" t="n">
        <f aca="false">SUM(O2:O238)</f>
        <v>300703.96</v>
      </c>
      <c r="P239" s="8"/>
      <c r="Q239" s="9" t="n">
        <f aca="false">SUM(Q2:Q238)</f>
        <v>254833.88</v>
      </c>
      <c r="R239" s="8"/>
      <c r="S239" s="9" t="n">
        <f aca="false">SUM(S2:S238)</f>
        <v>22935.05</v>
      </c>
      <c r="T239" s="8"/>
      <c r="U239" s="8"/>
      <c r="V239" s="8"/>
      <c r="W239" s="8"/>
      <c r="X239" s="8" t="s">
        <v>527</v>
      </c>
    </row>
    <row r="241" customFormat="false" ht="25.5" hidden="false" customHeight="true" outlineLevel="0" collapsed="false">
      <c r="A241" s="10" t="s">
        <v>528</v>
      </c>
    </row>
    <row r="242" customFormat="false" ht="25.5" hidden="false" customHeight="true" outlineLevel="0" collapsed="false">
      <c r="A242" s="10" t="s">
        <v>529</v>
      </c>
    </row>
    <row r="243" customFormat="false" ht="25.5" hidden="false" customHeight="true" outlineLevel="0" collapsed="false">
      <c r="A243" s="10" t="s">
        <v>530</v>
      </c>
    </row>
    <row r="244" customFormat="false" ht="25.5" hidden="false" customHeight="true" outlineLevel="0" collapsed="false">
      <c r="A244" s="10" t="s">
        <v>531</v>
      </c>
    </row>
    <row r="245" customFormat="false" ht="25.5" hidden="false" customHeight="true" outlineLevel="0" collapsed="false">
      <c r="A245" s="10" t="s">
        <v>532</v>
      </c>
    </row>
    <row r="246" customFormat="false" ht="25.5" hidden="false" customHeight="true" outlineLevel="0" collapsed="false">
      <c r="A246" s="10" t="s">
        <v>533</v>
      </c>
    </row>
    <row r="247" customFormat="false" ht="30" hidden="false" customHeight="true" outlineLevel="0" collapsed="false">
      <c r="A247" s="11" t="s">
        <v>534</v>
      </c>
    </row>
  </sheetData>
  <autoFilter ref="A1:W238"/>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11"/>
    <col collapsed="false" customWidth="true" hidden="false" outlineLevel="0" max="4" min="3" style="0" width="13"/>
    <col collapsed="false" customWidth="true" hidden="false" outlineLevel="0" max="5" min="5" style="0" width="8"/>
    <col collapsed="false" customWidth="true" hidden="false" outlineLevel="0" max="7" min="6" style="0" width="16"/>
    <col collapsed="false" customWidth="true" hidden="false" outlineLevel="0" max="8" min="8" style="0" width="9"/>
    <col collapsed="false" customWidth="true" hidden="false" outlineLevel="0" max="10" min="9" style="0" width="14"/>
    <col collapsed="false" customWidth="true" hidden="false" outlineLevel="0" max="11" min="11" style="0" width="9"/>
  </cols>
  <sheetData>
    <row r="1" customFormat="false" ht="16.15" hidden="false" customHeight="false" outlineLevel="0" collapsed="false">
      <c r="A1" s="12" t="s">
        <v>535</v>
      </c>
    </row>
    <row r="2" customFormat="false" ht="15" hidden="false" customHeight="false" outlineLevel="0" collapsed="false">
      <c r="A2" s="13" t="s">
        <v>536</v>
      </c>
    </row>
    <row r="4" customFormat="false" ht="33.75" hidden="false" customHeight="true" outlineLevel="0" collapsed="false">
      <c r="A4" s="1" t="s">
        <v>19</v>
      </c>
      <c r="B4" s="1" t="s">
        <v>537</v>
      </c>
      <c r="C4" s="1" t="s">
        <v>538</v>
      </c>
      <c r="D4" s="1" t="s">
        <v>539</v>
      </c>
      <c r="E4" s="1" t="s">
        <v>17</v>
      </c>
      <c r="F4" s="1" t="s">
        <v>540</v>
      </c>
      <c r="G4" s="1" t="s">
        <v>541</v>
      </c>
      <c r="H4" s="1" t="s">
        <v>17</v>
      </c>
      <c r="I4" s="1" t="s">
        <v>542</v>
      </c>
      <c r="J4" s="1" t="s">
        <v>543</v>
      </c>
      <c r="K4" s="1" t="s">
        <v>17</v>
      </c>
    </row>
    <row r="5" customFormat="false" ht="15" hidden="false" customHeight="false" outlineLevel="0" collapsed="false">
      <c r="A5" s="4" t="s">
        <v>544</v>
      </c>
      <c r="B5" s="4" t="s">
        <v>545</v>
      </c>
      <c r="C5" s="14" t="n">
        <v>381</v>
      </c>
      <c r="D5" s="15" t="n">
        <f aca="false">SUMIF('Line Items'!$A$2:$A$238,"&lt;="&amp;34,'Line Items'!$F$2:$F$238)</f>
        <v>381</v>
      </c>
      <c r="E5" s="15" t="n">
        <f aca="false">D5-C5</f>
        <v>0</v>
      </c>
      <c r="F5" s="16" t="n">
        <v>30585.76</v>
      </c>
      <c r="G5" s="5" t="n">
        <f aca="false">ROUND(SUMIF('Line Items'!$A$2:$A$238,"&lt;="&amp;34,'Line Items'!$J$2:$J$238),2)</f>
        <v>30585.77</v>
      </c>
      <c r="H5" s="5" t="n">
        <f aca="false">ROUND(G5-F5,2)</f>
        <v>0.01</v>
      </c>
      <c r="I5" s="16" t="n">
        <v>2752.69</v>
      </c>
      <c r="J5" s="5" t="n">
        <f aca="false">ROUND(SUMIF('Line Items'!$A$2:$A$238,"&lt;="&amp;34,'Line Items'!$L$2:$L$238),2)</f>
        <v>2752.69</v>
      </c>
      <c r="K5" s="5" t="n">
        <f aca="false">ROUND(J5-I5,2)</f>
        <v>0</v>
      </c>
    </row>
    <row r="6" customFormat="false" ht="15" hidden="false" customHeight="false" outlineLevel="0" collapsed="false">
      <c r="A6" s="4" t="s">
        <v>546</v>
      </c>
      <c r="B6" s="4" t="s">
        <v>547</v>
      </c>
      <c r="C6" s="14" t="n">
        <v>953</v>
      </c>
      <c r="D6" s="15" t="n">
        <f aca="false">SUMIF('Line Items'!$A$2:$A$238,"&lt;="&amp;67,'Line Items'!$F$2:$F$238)</f>
        <v>953</v>
      </c>
      <c r="E6" s="15" t="n">
        <f aca="false">D6-C6</f>
        <v>0</v>
      </c>
      <c r="F6" s="16" t="n">
        <v>70366.78</v>
      </c>
      <c r="G6" s="5" t="n">
        <f aca="false">ROUND(SUMIF('Line Items'!$A$2:$A$238,"&lt;="&amp;67,'Line Items'!$J$2:$J$238),2)</f>
        <v>70366.78</v>
      </c>
      <c r="H6" s="5" t="n">
        <f aca="false">ROUND(G6-F6,2)</f>
        <v>0</v>
      </c>
      <c r="I6" s="16" t="n">
        <v>6333</v>
      </c>
      <c r="J6" s="5" t="n">
        <f aca="false">ROUND(SUMIF('Line Items'!$A$2:$A$238,"&lt;="&amp;67,'Line Items'!$L$2:$L$238),2)</f>
        <v>6333</v>
      </c>
      <c r="K6" s="5" t="n">
        <f aca="false">ROUND(J6-I6,2)</f>
        <v>0</v>
      </c>
    </row>
    <row r="7" customFormat="false" ht="15" hidden="false" customHeight="false" outlineLevel="0" collapsed="false">
      <c r="A7" s="4" t="s">
        <v>548</v>
      </c>
      <c r="B7" s="4" t="s">
        <v>549</v>
      </c>
      <c r="C7" s="14" t="n">
        <v>1116</v>
      </c>
      <c r="D7" s="15" t="n">
        <f aca="false">SUMIF('Line Items'!$A$2:$A$238,"&lt;="&amp;100,'Line Items'!$F$2:$F$238)</f>
        <v>1116</v>
      </c>
      <c r="E7" s="15" t="n">
        <f aca="false">D7-C7</f>
        <v>0</v>
      </c>
      <c r="F7" s="16" t="n">
        <v>105151.19</v>
      </c>
      <c r="G7" s="5" t="n">
        <f aca="false">ROUND(SUMIF('Line Items'!$A$2:$A$238,"&lt;="&amp;100,'Line Items'!$J$2:$J$238),2)</f>
        <v>105151.19</v>
      </c>
      <c r="H7" s="5" t="n">
        <f aca="false">ROUND(G7-F7,2)</f>
        <v>0</v>
      </c>
      <c r="I7" s="16" t="n">
        <v>9463.59</v>
      </c>
      <c r="J7" s="5" t="n">
        <f aca="false">ROUND(SUMIF('Line Items'!$A$2:$A$238,"&lt;="&amp;100,'Line Items'!$L$2:$L$238),2)</f>
        <v>9463.59</v>
      </c>
      <c r="K7" s="5" t="n">
        <f aca="false">ROUND(J7-I7,2)</f>
        <v>0</v>
      </c>
    </row>
    <row r="8" customFormat="false" ht="15" hidden="false" customHeight="false" outlineLevel="0" collapsed="false">
      <c r="A8" s="4" t="s">
        <v>550</v>
      </c>
      <c r="B8" s="4" t="s">
        <v>551</v>
      </c>
      <c r="C8" s="14" t="n">
        <v>1357</v>
      </c>
      <c r="D8" s="15" t="n">
        <f aca="false">SUMIF('Line Items'!$A$2:$A$238,"&lt;="&amp;133,'Line Items'!$F$2:$F$238)</f>
        <v>1357</v>
      </c>
      <c r="E8" s="15" t="n">
        <f aca="false">D8-C8</f>
        <v>0</v>
      </c>
      <c r="F8" s="16" t="n">
        <v>130004.07</v>
      </c>
      <c r="G8" s="5" t="n">
        <f aca="false">ROUND(SUMIF('Line Items'!$A$2:$A$238,"&lt;="&amp;133,'Line Items'!$J$2:$J$238),2)</f>
        <v>130004.06</v>
      </c>
      <c r="H8" s="5" t="n">
        <f aca="false">ROUND(G8-F8,2)</f>
        <v>-0.01</v>
      </c>
      <c r="I8" s="16" t="n">
        <v>11700.37</v>
      </c>
      <c r="J8" s="5" t="n">
        <f aca="false">ROUND(SUMIF('Line Items'!$A$2:$A$238,"&lt;="&amp;133,'Line Items'!$L$2:$L$238),2)</f>
        <v>11700.37</v>
      </c>
      <c r="K8" s="5" t="n">
        <f aca="false">ROUND(J8-I8,2)</f>
        <v>0</v>
      </c>
    </row>
    <row r="9" customFormat="false" ht="15" hidden="false" customHeight="false" outlineLevel="0" collapsed="false">
      <c r="A9" s="4" t="s">
        <v>552</v>
      </c>
      <c r="B9" s="4" t="s">
        <v>553</v>
      </c>
      <c r="C9" s="14" t="n">
        <v>1673</v>
      </c>
      <c r="D9" s="15" t="n">
        <f aca="false">SUMIF('Line Items'!$A$2:$A$238,"&lt;="&amp;166,'Line Items'!$F$2:$F$238)</f>
        <v>1673</v>
      </c>
      <c r="E9" s="15" t="n">
        <f aca="false">D9-C9</f>
        <v>0</v>
      </c>
      <c r="F9" s="16" t="n">
        <v>145883.39</v>
      </c>
      <c r="G9" s="5" t="n">
        <f aca="false">ROUND(SUMIF('Line Items'!$A$2:$A$238,"&lt;="&amp;166,'Line Items'!$J$2:$J$238),2)</f>
        <v>145883.36</v>
      </c>
      <c r="H9" s="5" t="n">
        <f aca="false">ROUND(G9-F9,2)</f>
        <v>-0.03</v>
      </c>
      <c r="I9" s="16" t="n">
        <v>13129.48</v>
      </c>
      <c r="J9" s="5" t="n">
        <f aca="false">ROUND(SUMIF('Line Items'!$A$2:$A$238,"&lt;="&amp;166,'Line Items'!$L$2:$L$238),2)</f>
        <v>13129.48</v>
      </c>
      <c r="K9" s="5" t="n">
        <f aca="false">ROUND(J9-I9,2)</f>
        <v>0</v>
      </c>
    </row>
    <row r="10" customFormat="false" ht="15" hidden="false" customHeight="false" outlineLevel="0" collapsed="false">
      <c r="A10" s="4" t="s">
        <v>554</v>
      </c>
      <c r="B10" s="4" t="s">
        <v>555</v>
      </c>
      <c r="C10" s="14" t="n">
        <v>2189</v>
      </c>
      <c r="D10" s="15" t="n">
        <f aca="false">SUMIF('Line Items'!$A$2:$A$238,"&lt;="&amp;199,'Line Items'!$F$2:$F$238)</f>
        <v>2189</v>
      </c>
      <c r="E10" s="15" t="n">
        <f aca="false">D10-C10</f>
        <v>0</v>
      </c>
      <c r="F10" s="16" t="n">
        <v>192061.02</v>
      </c>
      <c r="G10" s="5" t="n">
        <f aca="false">ROUND(SUMIF('Line Items'!$A$2:$A$238,"&lt;="&amp;199,'Line Items'!$J$2:$J$238),2)</f>
        <v>192060.98</v>
      </c>
      <c r="H10" s="5" t="n">
        <f aca="false">ROUND(G10-F10,2)</f>
        <v>-0.04</v>
      </c>
      <c r="I10" s="16" t="n">
        <v>17285.46</v>
      </c>
      <c r="J10" s="5" t="n">
        <f aca="false">ROUND(SUMIF('Line Items'!$A$2:$A$238,"&lt;="&amp;199,'Line Items'!$L$2:$L$238),2)</f>
        <v>17285.46</v>
      </c>
      <c r="K10" s="5" t="n">
        <f aca="false">ROUND(J10-I10,2)</f>
        <v>0</v>
      </c>
    </row>
    <row r="11" customFormat="false" ht="15" hidden="false" customHeight="false" outlineLevel="0" collapsed="false">
      <c r="A11" s="4" t="s">
        <v>556</v>
      </c>
      <c r="B11" s="4" t="s">
        <v>557</v>
      </c>
      <c r="C11" s="14" t="n">
        <v>2490</v>
      </c>
      <c r="D11" s="15" t="n">
        <f aca="false">SUMIF('Line Items'!$A$2:$A$238,"&lt;="&amp;232,'Line Items'!$F$2:$F$238)</f>
        <v>2490</v>
      </c>
      <c r="E11" s="15" t="n">
        <f aca="false">D11-C11</f>
        <v>0</v>
      </c>
      <c r="F11" s="16" t="n">
        <v>247993.22</v>
      </c>
      <c r="G11" s="5" t="n">
        <f aca="false">ROUND(SUMIF('Line Items'!$A$2:$A$238,"&lt;="&amp;232,'Line Items'!$J$2:$J$238),2)</f>
        <v>247993.18</v>
      </c>
      <c r="H11" s="5" t="n">
        <f aca="false">ROUND(G11-F11,2)</f>
        <v>-0.04</v>
      </c>
      <c r="I11" s="16" t="n">
        <v>22319.38</v>
      </c>
      <c r="J11" s="5" t="n">
        <f aca="false">ROUND(SUMIF('Line Items'!$A$2:$A$238,"&lt;="&amp;232,'Line Items'!$L$2:$L$238),2)</f>
        <v>22319.38</v>
      </c>
      <c r="K11" s="5" t="n">
        <f aca="false">ROUND(J11-I11,2)</f>
        <v>0</v>
      </c>
    </row>
    <row r="12" customFormat="false" ht="15" hidden="false" customHeight="false" outlineLevel="0" collapsed="false">
      <c r="A12" s="4" t="s">
        <v>558</v>
      </c>
      <c r="B12" s="4" t="s">
        <v>559</v>
      </c>
      <c r="C12" s="14" t="n">
        <v>2530</v>
      </c>
      <c r="D12" s="15" t="n">
        <f aca="false">SUMIF('Line Items'!$A$2:$A$238,"&lt;="&amp;237,'Line Items'!$F$2:$F$238)</f>
        <v>2530</v>
      </c>
      <c r="E12" s="15" t="n">
        <f aca="false">D12-C12</f>
        <v>0</v>
      </c>
      <c r="F12" s="16" t="n">
        <v>254833.9</v>
      </c>
      <c r="G12" s="5" t="n">
        <f aca="false">ROUND(SUMIF('Line Items'!$A$2:$A$238,"&lt;="&amp;237,'Line Items'!$J$2:$J$238),2)</f>
        <v>254833.86</v>
      </c>
      <c r="H12" s="5" t="n">
        <f aca="false">ROUND(G12-F12,2)</f>
        <v>-0.04</v>
      </c>
      <c r="I12" s="16" t="n">
        <v>22935.05</v>
      </c>
      <c r="J12" s="5" t="n">
        <f aca="false">ROUND(SUMIF('Line Items'!$A$2:$A$238,"&lt;="&amp;237,'Line Items'!$L$2:$L$238),2)</f>
        <v>22935.05</v>
      </c>
      <c r="K12" s="5" t="n">
        <f aca="false">ROUND(J12-I12,2)</f>
        <v>0</v>
      </c>
    </row>
    <row r="15" customFormat="false" ht="25.5" hidden="false" customHeight="true" outlineLevel="0" collapsed="false">
      <c r="A15" s="10" t="s">
        <v>560</v>
      </c>
    </row>
    <row r="16" customFormat="false" ht="25.5" hidden="false" customHeight="true" outlineLevel="0" collapsed="false">
      <c r="A16" s="10" t="s">
        <v>561</v>
      </c>
    </row>
    <row r="17" customFormat="false" ht="25.5" hidden="false" customHeight="true" outlineLevel="0" collapsed="false">
      <c r="A17" s="10" t="s">
        <v>562</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3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9"/>
    <col collapsed="false" customWidth="true" hidden="false" outlineLevel="0" max="3" min="3" style="0" width="10"/>
    <col collapsed="false" customWidth="true" hidden="false" outlineLevel="0" max="4" min="4" style="0" width="16"/>
    <col collapsed="false" customWidth="true" hidden="false" outlineLevel="0" max="6" min="5" style="0" width="14"/>
    <col collapsed="false" customWidth="true" hidden="false" outlineLevel="0" max="7" min="7" style="0" width="17"/>
  </cols>
  <sheetData>
    <row r="1" customFormat="false" ht="16.15" hidden="false" customHeight="false" outlineLevel="0" collapsed="false">
      <c r="A1" s="12" t="s">
        <v>563</v>
      </c>
    </row>
    <row r="3" customFormat="false" ht="30" hidden="false" customHeight="true" outlineLevel="0" collapsed="false">
      <c r="A3" s="1" t="s">
        <v>564</v>
      </c>
      <c r="B3" s="1" t="s">
        <v>565</v>
      </c>
      <c r="C3" s="1" t="s">
        <v>5</v>
      </c>
      <c r="D3" s="1" t="s">
        <v>9</v>
      </c>
      <c r="E3" s="1" t="s">
        <v>566</v>
      </c>
      <c r="F3" s="1" t="s">
        <v>567</v>
      </c>
      <c r="G3" s="1" t="s">
        <v>568</v>
      </c>
    </row>
    <row r="4" customFormat="false" ht="15" hidden="false" customHeight="false" outlineLevel="0" collapsed="false">
      <c r="A4" s="4" t="s">
        <v>405</v>
      </c>
      <c r="B4" s="15" t="n">
        <f aca="false">COUNTIF('Line Items'!$D$2:$D$238,$A4)</f>
        <v>3</v>
      </c>
      <c r="C4" s="15" t="n">
        <f aca="false">SUMIF('Line Items'!$D$2:$D$238,$A4,'Line Items'!$F$2:$F$238)</f>
        <v>75</v>
      </c>
      <c r="D4" s="5" t="n">
        <f aca="false">ROUND(SUMIF('Line Items'!$D$2:$D$238,$A4,'Line Items'!$J$2:$J$238),2)</f>
        <v>850.85</v>
      </c>
      <c r="E4" s="5" t="n">
        <f aca="false">ROUND(SUMIF('Line Items'!$D$2:$D$238,$A4,'Line Items'!$L$2:$L$238),2)</f>
        <v>76.58</v>
      </c>
      <c r="F4" s="5" t="n">
        <f aca="false">E4</f>
        <v>76.58</v>
      </c>
      <c r="G4" s="5" t="n">
        <f aca="false">D4+E4+F4</f>
        <v>1004.01</v>
      </c>
    </row>
    <row r="5" customFormat="false" ht="15" hidden="false" customHeight="false" outlineLevel="0" collapsed="false">
      <c r="A5" s="4" t="s">
        <v>392</v>
      </c>
      <c r="B5" s="15" t="n">
        <f aca="false">COUNTIF('Line Items'!$D$2:$D$238,$A5)</f>
        <v>6</v>
      </c>
      <c r="C5" s="15" t="n">
        <f aca="false">SUMIF('Line Items'!$D$2:$D$238,$A5,'Line Items'!$F$2:$F$238)</f>
        <v>64</v>
      </c>
      <c r="D5" s="5" t="n">
        <f aca="false">ROUND(SUMIF('Line Items'!$D$2:$D$238,$A5,'Line Items'!$J$2:$J$238),2)</f>
        <v>1450.84</v>
      </c>
      <c r="E5" s="5" t="n">
        <f aca="false">ROUND(SUMIF('Line Items'!$D$2:$D$238,$A5,'Line Items'!$L$2:$L$238),2)</f>
        <v>130.57</v>
      </c>
      <c r="F5" s="5" t="n">
        <f aca="false">E5</f>
        <v>130.57</v>
      </c>
      <c r="G5" s="5" t="n">
        <f aca="false">D5+E5+F5</f>
        <v>1711.98</v>
      </c>
    </row>
    <row r="6" customFormat="false" ht="15" hidden="false" customHeight="false" outlineLevel="0" collapsed="false">
      <c r="A6" s="4" t="s">
        <v>229</v>
      </c>
      <c r="B6" s="15" t="n">
        <f aca="false">COUNTIF('Line Items'!$D$2:$D$238,$A6)</f>
        <v>1</v>
      </c>
      <c r="C6" s="15" t="n">
        <f aca="false">SUMIF('Line Items'!$D$2:$D$238,$A6,'Line Items'!$F$2:$F$238)</f>
        <v>4</v>
      </c>
      <c r="D6" s="5" t="n">
        <f aca="false">ROUND(SUMIF('Line Items'!$D$2:$D$238,$A6,'Line Items'!$J$2:$J$238),2)</f>
        <v>111.19</v>
      </c>
      <c r="E6" s="5" t="n">
        <f aca="false">ROUND(SUMIF('Line Items'!$D$2:$D$238,$A6,'Line Items'!$L$2:$L$238),2)</f>
        <v>10.01</v>
      </c>
      <c r="F6" s="5" t="n">
        <f aca="false">E6</f>
        <v>10.01</v>
      </c>
      <c r="G6" s="5" t="n">
        <f aca="false">D6+E6+F6</f>
        <v>131.21</v>
      </c>
    </row>
    <row r="7" customFormat="false" ht="15" hidden="false" customHeight="false" outlineLevel="0" collapsed="false">
      <c r="A7" s="4" t="s">
        <v>514</v>
      </c>
      <c r="B7" s="15" t="n">
        <f aca="false">COUNTIF('Line Items'!$D$2:$D$238,$A7)</f>
        <v>1</v>
      </c>
      <c r="C7" s="15" t="n">
        <f aca="false">SUMIF('Line Items'!$D$2:$D$238,$A7,'Line Items'!$F$2:$F$238)</f>
        <v>10</v>
      </c>
      <c r="D7" s="5" t="n">
        <f aca="false">ROUND(SUMIF('Line Items'!$D$2:$D$238,$A7,'Line Items'!$J$2:$J$238),2)</f>
        <v>542.37</v>
      </c>
      <c r="E7" s="5" t="n">
        <f aca="false">ROUND(SUMIF('Line Items'!$D$2:$D$238,$A7,'Line Items'!$L$2:$L$238),2)</f>
        <v>48.81</v>
      </c>
      <c r="F7" s="5" t="n">
        <f aca="false">E7</f>
        <v>48.81</v>
      </c>
      <c r="G7" s="5" t="n">
        <f aca="false">D7+E7+F7</f>
        <v>639.99</v>
      </c>
    </row>
    <row r="8" customFormat="false" ht="15" hidden="false" customHeight="false" outlineLevel="0" collapsed="false">
      <c r="A8" s="4" t="s">
        <v>77</v>
      </c>
      <c r="B8" s="15" t="n">
        <f aca="false">COUNTIF('Line Items'!$D$2:$D$238,$A8)</f>
        <v>10</v>
      </c>
      <c r="C8" s="15" t="n">
        <f aca="false">SUMIF('Line Items'!$D$2:$D$238,$A8,'Line Items'!$F$2:$F$238)</f>
        <v>304</v>
      </c>
      <c r="D8" s="5" t="n">
        <f aca="false">ROUND(SUMIF('Line Items'!$D$2:$D$238,$A8,'Line Items'!$J$2:$J$238),2)</f>
        <v>4968.13</v>
      </c>
      <c r="E8" s="5" t="n">
        <f aca="false">ROUND(SUMIF('Line Items'!$D$2:$D$238,$A8,'Line Items'!$L$2:$L$238),2)</f>
        <v>447.12</v>
      </c>
      <c r="F8" s="5" t="n">
        <f aca="false">E8</f>
        <v>447.12</v>
      </c>
      <c r="G8" s="5" t="n">
        <f aca="false">D8+E8+F8</f>
        <v>5862.37</v>
      </c>
    </row>
    <row r="9" customFormat="false" ht="15" hidden="false" customHeight="false" outlineLevel="0" collapsed="false">
      <c r="A9" s="4" t="s">
        <v>358</v>
      </c>
      <c r="B9" s="15" t="n">
        <f aca="false">COUNTIF('Line Items'!$D$2:$D$238,$A9)</f>
        <v>5</v>
      </c>
      <c r="C9" s="15" t="n">
        <f aca="false">SUMIF('Line Items'!$D$2:$D$238,$A9,'Line Items'!$F$2:$F$238)</f>
        <v>95</v>
      </c>
      <c r="D9" s="5" t="n">
        <f aca="false">ROUND(SUMIF('Line Items'!$D$2:$D$238,$A9,'Line Items'!$J$2:$J$238),2)</f>
        <v>976.27</v>
      </c>
      <c r="E9" s="5" t="n">
        <f aca="false">ROUND(SUMIF('Line Items'!$D$2:$D$238,$A9,'Line Items'!$L$2:$L$238),2)</f>
        <v>87.85</v>
      </c>
      <c r="F9" s="5" t="n">
        <f aca="false">E9</f>
        <v>87.85</v>
      </c>
      <c r="G9" s="5" t="n">
        <f aca="false">D9+E9+F9</f>
        <v>1151.97</v>
      </c>
    </row>
    <row r="10" customFormat="false" ht="15" hidden="false" customHeight="false" outlineLevel="0" collapsed="false">
      <c r="A10" s="4" t="s">
        <v>363</v>
      </c>
      <c r="B10" s="15" t="n">
        <f aca="false">COUNTIF('Line Items'!$D$2:$D$238,$A10)</f>
        <v>5</v>
      </c>
      <c r="C10" s="15" t="n">
        <f aca="false">SUMIF('Line Items'!$D$2:$D$238,$A10,'Line Items'!$F$2:$F$238)</f>
        <v>100</v>
      </c>
      <c r="D10" s="5" t="n">
        <f aca="false">ROUND(SUMIF('Line Items'!$D$2:$D$238,$A10,'Line Items'!$J$2:$J$238),2)</f>
        <v>3491.52</v>
      </c>
      <c r="E10" s="5" t="n">
        <f aca="false">ROUND(SUMIF('Line Items'!$D$2:$D$238,$A10,'Line Items'!$L$2:$L$238),2)</f>
        <v>314.24</v>
      </c>
      <c r="F10" s="5" t="n">
        <f aca="false">E10</f>
        <v>314.24</v>
      </c>
      <c r="G10" s="5" t="n">
        <f aca="false">D10+E10+F10</f>
        <v>4120</v>
      </c>
    </row>
    <row r="11" customFormat="false" ht="15" hidden="false" customHeight="false" outlineLevel="0" collapsed="false">
      <c r="A11" s="4" t="s">
        <v>313</v>
      </c>
      <c r="B11" s="15" t="n">
        <f aca="false">COUNTIF('Line Items'!$D$2:$D$238,$A11)</f>
        <v>2</v>
      </c>
      <c r="C11" s="15" t="n">
        <f aca="false">SUMIF('Line Items'!$D$2:$D$238,$A11,'Line Items'!$F$2:$F$238)</f>
        <v>30</v>
      </c>
      <c r="D11" s="5" t="n">
        <f aca="false">ROUND(SUMIF('Line Items'!$D$2:$D$238,$A11,'Line Items'!$J$2:$J$238),2)</f>
        <v>366.1</v>
      </c>
      <c r="E11" s="5" t="n">
        <f aca="false">ROUND(SUMIF('Line Items'!$D$2:$D$238,$A11,'Line Items'!$L$2:$L$238),2)</f>
        <v>32.95</v>
      </c>
      <c r="F11" s="5" t="n">
        <f aca="false">E11</f>
        <v>32.95</v>
      </c>
      <c r="G11" s="5" t="n">
        <f aca="false">D11+E11+F11</f>
        <v>432</v>
      </c>
    </row>
    <row r="12" customFormat="false" ht="15" hidden="false" customHeight="false" outlineLevel="0" collapsed="false">
      <c r="A12" s="4" t="s">
        <v>138</v>
      </c>
      <c r="B12" s="15" t="n">
        <f aca="false">COUNTIF('Line Items'!$D$2:$D$238,$A12)</f>
        <v>2</v>
      </c>
      <c r="C12" s="15" t="n">
        <f aca="false">SUMIF('Line Items'!$D$2:$D$238,$A12,'Line Items'!$F$2:$F$238)</f>
        <v>24</v>
      </c>
      <c r="D12" s="5" t="n">
        <f aca="false">ROUND(SUMIF('Line Items'!$D$2:$D$238,$A12,'Line Items'!$J$2:$J$238),2)</f>
        <v>447.46</v>
      </c>
      <c r="E12" s="5" t="n">
        <f aca="false">ROUND(SUMIF('Line Items'!$D$2:$D$238,$A12,'Line Items'!$L$2:$L$238),2)</f>
        <v>40.27</v>
      </c>
      <c r="F12" s="5" t="n">
        <f aca="false">E12</f>
        <v>40.27</v>
      </c>
      <c r="G12" s="5" t="n">
        <f aca="false">D12+E12+F12</f>
        <v>528</v>
      </c>
    </row>
    <row r="13" customFormat="false" ht="15" hidden="false" customHeight="false" outlineLevel="0" collapsed="false">
      <c r="A13" s="4" t="s">
        <v>432</v>
      </c>
      <c r="B13" s="15" t="n">
        <f aca="false">COUNTIF('Line Items'!$D$2:$D$238,$A13)</f>
        <v>1</v>
      </c>
      <c r="C13" s="15" t="n">
        <f aca="false">SUMIF('Line Items'!$D$2:$D$238,$A13,'Line Items'!$F$2:$F$238)</f>
        <v>20</v>
      </c>
      <c r="D13" s="5" t="n">
        <f aca="false">ROUND(SUMIF('Line Items'!$D$2:$D$238,$A13,'Line Items'!$J$2:$J$238),2)</f>
        <v>1220.34</v>
      </c>
      <c r="E13" s="5" t="n">
        <f aca="false">ROUND(SUMIF('Line Items'!$D$2:$D$238,$A13,'Line Items'!$L$2:$L$238),2)</f>
        <v>109.83</v>
      </c>
      <c r="F13" s="5" t="n">
        <f aca="false">E13</f>
        <v>109.83</v>
      </c>
      <c r="G13" s="5" t="n">
        <f aca="false">D13+E13+F13</f>
        <v>1440</v>
      </c>
    </row>
    <row r="14" customFormat="false" ht="15" hidden="false" customHeight="false" outlineLevel="0" collapsed="false">
      <c r="A14" s="4" t="s">
        <v>326</v>
      </c>
      <c r="B14" s="15" t="n">
        <f aca="false">COUNTIF('Line Items'!$D$2:$D$238,$A14)</f>
        <v>2</v>
      </c>
      <c r="C14" s="15" t="n">
        <f aca="false">SUMIF('Line Items'!$D$2:$D$238,$A14,'Line Items'!$F$2:$F$238)</f>
        <v>40</v>
      </c>
      <c r="D14" s="5" t="n">
        <f aca="false">ROUND(SUMIF('Line Items'!$D$2:$D$238,$A14,'Line Items'!$J$2:$J$238),2)</f>
        <v>1694.92</v>
      </c>
      <c r="E14" s="5" t="n">
        <f aca="false">ROUND(SUMIF('Line Items'!$D$2:$D$238,$A14,'Line Items'!$L$2:$L$238),2)</f>
        <v>152.55</v>
      </c>
      <c r="F14" s="5" t="n">
        <f aca="false">E14</f>
        <v>152.55</v>
      </c>
      <c r="G14" s="5" t="n">
        <f aca="false">D14+E14+F14</f>
        <v>2000.02</v>
      </c>
    </row>
    <row r="15" customFormat="false" ht="15" hidden="false" customHeight="false" outlineLevel="0" collapsed="false">
      <c r="A15" s="4" t="s">
        <v>465</v>
      </c>
      <c r="B15" s="15" t="n">
        <f aca="false">COUNTIF('Line Items'!$D$2:$D$238,$A15)</f>
        <v>1</v>
      </c>
      <c r="C15" s="15" t="n">
        <f aca="false">SUMIF('Line Items'!$D$2:$D$238,$A15,'Line Items'!$F$2:$F$238)</f>
        <v>1</v>
      </c>
      <c r="D15" s="5" t="n">
        <f aca="false">ROUND(SUMIF('Line Items'!$D$2:$D$238,$A15,'Line Items'!$J$2:$J$238),2)</f>
        <v>280.68</v>
      </c>
      <c r="E15" s="5" t="n">
        <f aca="false">ROUND(SUMIF('Line Items'!$D$2:$D$238,$A15,'Line Items'!$L$2:$L$238),2)</f>
        <v>25.26</v>
      </c>
      <c r="F15" s="5" t="n">
        <f aca="false">E15</f>
        <v>25.26</v>
      </c>
      <c r="G15" s="5" t="n">
        <f aca="false">D15+E15+F15</f>
        <v>331.2</v>
      </c>
    </row>
    <row r="16" customFormat="false" ht="15" hidden="false" customHeight="false" outlineLevel="0" collapsed="false">
      <c r="A16" s="4" t="s">
        <v>440</v>
      </c>
      <c r="B16" s="15" t="n">
        <f aca="false">COUNTIF('Line Items'!$D$2:$D$238,$A16)</f>
        <v>1</v>
      </c>
      <c r="C16" s="15" t="n">
        <f aca="false">SUMIF('Line Items'!$D$2:$D$238,$A16,'Line Items'!$F$2:$F$238)</f>
        <v>2</v>
      </c>
      <c r="D16" s="5" t="n">
        <f aca="false">ROUND(SUMIF('Line Items'!$D$2:$D$238,$A16,'Line Items'!$J$2:$J$238),2)</f>
        <v>2999.32</v>
      </c>
      <c r="E16" s="5" t="n">
        <f aca="false">ROUND(SUMIF('Line Items'!$D$2:$D$238,$A16,'Line Items'!$L$2:$L$238),2)</f>
        <v>269.94</v>
      </c>
      <c r="F16" s="5" t="n">
        <f aca="false">E16</f>
        <v>269.94</v>
      </c>
      <c r="G16" s="5" t="n">
        <f aca="false">D16+E16+F16</f>
        <v>3539.2</v>
      </c>
    </row>
    <row r="17" customFormat="false" ht="15" hidden="false" customHeight="false" outlineLevel="0" collapsed="false">
      <c r="A17" s="4" t="s">
        <v>437</v>
      </c>
      <c r="B17" s="15" t="n">
        <f aca="false">COUNTIF('Line Items'!$D$2:$D$238,$A17)</f>
        <v>6</v>
      </c>
      <c r="C17" s="15" t="n">
        <f aca="false">SUMIF('Line Items'!$D$2:$D$238,$A17,'Line Items'!$F$2:$F$238)</f>
        <v>11</v>
      </c>
      <c r="D17" s="5" t="n">
        <f aca="false">ROUND(SUMIF('Line Items'!$D$2:$D$238,$A17,'Line Items'!$J$2:$J$238),2)</f>
        <v>10328.13</v>
      </c>
      <c r="E17" s="5" t="n">
        <f aca="false">ROUND(SUMIF('Line Items'!$D$2:$D$238,$A17,'Line Items'!$L$2:$L$238),2)</f>
        <v>929.55</v>
      </c>
      <c r="F17" s="5" t="n">
        <f aca="false">E17</f>
        <v>929.55</v>
      </c>
      <c r="G17" s="5" t="n">
        <f aca="false">D17+E17+F17</f>
        <v>12187.23</v>
      </c>
    </row>
    <row r="18" customFormat="false" ht="15" hidden="false" customHeight="false" outlineLevel="0" collapsed="false">
      <c r="A18" s="4" t="s">
        <v>470</v>
      </c>
      <c r="B18" s="15" t="n">
        <f aca="false">COUNTIF('Line Items'!$D$2:$D$238,$A18)</f>
        <v>1</v>
      </c>
      <c r="C18" s="15" t="n">
        <f aca="false">SUMIF('Line Items'!$D$2:$D$238,$A18,'Line Items'!$F$2:$F$238)</f>
        <v>10</v>
      </c>
      <c r="D18" s="5" t="n">
        <f aca="false">ROUND(SUMIF('Line Items'!$D$2:$D$238,$A18,'Line Items'!$J$2:$J$238),2)</f>
        <v>813.56</v>
      </c>
      <c r="E18" s="5" t="n">
        <f aca="false">ROUND(SUMIF('Line Items'!$D$2:$D$238,$A18,'Line Items'!$L$2:$L$238),2)</f>
        <v>73.22</v>
      </c>
      <c r="F18" s="5" t="n">
        <f aca="false">E18</f>
        <v>73.22</v>
      </c>
      <c r="G18" s="5" t="n">
        <f aca="false">D18+E18+F18</f>
        <v>960</v>
      </c>
    </row>
    <row r="19" customFormat="false" ht="15" hidden="false" customHeight="false" outlineLevel="0" collapsed="false">
      <c r="A19" s="4" t="s">
        <v>387</v>
      </c>
      <c r="B19" s="15" t="n">
        <f aca="false">COUNTIF('Line Items'!$D$2:$D$238,$A19)</f>
        <v>5</v>
      </c>
      <c r="C19" s="15" t="n">
        <f aca="false">SUMIF('Line Items'!$D$2:$D$238,$A19,'Line Items'!$F$2:$F$238)</f>
        <v>135</v>
      </c>
      <c r="D19" s="5" t="n">
        <f aca="false">ROUND(SUMIF('Line Items'!$D$2:$D$238,$A19,'Line Items'!$J$2:$J$238),2)</f>
        <v>9274.58</v>
      </c>
      <c r="E19" s="5" t="n">
        <f aca="false">ROUND(SUMIF('Line Items'!$D$2:$D$238,$A19,'Line Items'!$L$2:$L$238),2)</f>
        <v>834.71</v>
      </c>
      <c r="F19" s="5" t="n">
        <f aca="false">E19</f>
        <v>834.71</v>
      </c>
      <c r="G19" s="5" t="n">
        <f aca="false">D19+E19+F19</f>
        <v>10944</v>
      </c>
    </row>
    <row r="20" customFormat="false" ht="15" hidden="false" customHeight="false" outlineLevel="0" collapsed="false">
      <c r="A20" s="4" t="s">
        <v>370</v>
      </c>
      <c r="B20" s="15" t="n">
        <f aca="false">COUNTIF('Line Items'!$D$2:$D$238,$A20)</f>
        <v>5</v>
      </c>
      <c r="C20" s="15" t="n">
        <f aca="false">SUMIF('Line Items'!$D$2:$D$238,$A20,'Line Items'!$F$2:$F$238)</f>
        <v>48</v>
      </c>
      <c r="D20" s="5" t="n">
        <f aca="false">ROUND(SUMIF('Line Items'!$D$2:$D$238,$A20,'Line Items'!$J$2:$J$238),2)</f>
        <v>7684.75</v>
      </c>
      <c r="E20" s="5" t="n">
        <f aca="false">ROUND(SUMIF('Line Items'!$D$2:$D$238,$A20,'Line Items'!$L$2:$L$238),2)</f>
        <v>691.62</v>
      </c>
      <c r="F20" s="5" t="n">
        <f aca="false">E20</f>
        <v>691.62</v>
      </c>
      <c r="G20" s="5" t="n">
        <f aca="false">D20+E20+F20</f>
        <v>9067.99</v>
      </c>
    </row>
    <row r="21" customFormat="false" ht="15" hidden="false" customHeight="false" outlineLevel="0" collapsed="false">
      <c r="A21" s="4" t="s">
        <v>377</v>
      </c>
      <c r="B21" s="15" t="n">
        <f aca="false">COUNTIF('Line Items'!$D$2:$D$238,$A21)</f>
        <v>1</v>
      </c>
      <c r="C21" s="15" t="n">
        <f aca="false">SUMIF('Line Items'!$D$2:$D$238,$A21,'Line Items'!$F$2:$F$238)</f>
        <v>3</v>
      </c>
      <c r="D21" s="5" t="n">
        <f aca="false">ROUND(SUMIF('Line Items'!$D$2:$D$238,$A21,'Line Items'!$J$2:$J$238),2)</f>
        <v>939.66</v>
      </c>
      <c r="E21" s="5" t="n">
        <f aca="false">ROUND(SUMIF('Line Items'!$D$2:$D$238,$A21,'Line Items'!$L$2:$L$238),2)</f>
        <v>84.57</v>
      </c>
      <c r="F21" s="5" t="n">
        <f aca="false">E21</f>
        <v>84.57</v>
      </c>
      <c r="G21" s="5" t="n">
        <f aca="false">D21+E21+F21</f>
        <v>1108.8</v>
      </c>
    </row>
    <row r="22" customFormat="false" ht="15" hidden="false" customHeight="false" outlineLevel="0" collapsed="false">
      <c r="A22" s="4" t="s">
        <v>380</v>
      </c>
      <c r="B22" s="15" t="n">
        <f aca="false">COUNTIF('Line Items'!$D$2:$D$238,$A22)</f>
        <v>5</v>
      </c>
      <c r="C22" s="15" t="n">
        <f aca="false">SUMIF('Line Items'!$D$2:$D$238,$A22,'Line Items'!$F$2:$F$238)</f>
        <v>43</v>
      </c>
      <c r="D22" s="5" t="n">
        <f aca="false">ROUND(SUMIF('Line Items'!$D$2:$D$238,$A22,'Line Items'!$J$2:$J$238),2)</f>
        <v>7823.72</v>
      </c>
      <c r="E22" s="5" t="n">
        <f aca="false">ROUND(SUMIF('Line Items'!$D$2:$D$238,$A22,'Line Items'!$L$2:$L$238),2)</f>
        <v>704.14</v>
      </c>
      <c r="F22" s="5" t="n">
        <f aca="false">E22</f>
        <v>704.14</v>
      </c>
      <c r="G22" s="5" t="n">
        <f aca="false">D22+E22+F22</f>
        <v>9232</v>
      </c>
    </row>
    <row r="23" customFormat="false" ht="15" hidden="false" customHeight="false" outlineLevel="0" collapsed="false">
      <c r="A23" s="4" t="s">
        <v>475</v>
      </c>
      <c r="B23" s="15" t="n">
        <f aca="false">COUNTIF('Line Items'!$D$2:$D$238,$A23)</f>
        <v>1</v>
      </c>
      <c r="C23" s="15" t="n">
        <f aca="false">SUMIF('Line Items'!$D$2:$D$238,$A23,'Line Items'!$F$2:$F$238)</f>
        <v>5</v>
      </c>
      <c r="D23" s="5" t="n">
        <f aca="false">ROUND(SUMIF('Line Items'!$D$2:$D$238,$A23,'Line Items'!$J$2:$J$238),2)</f>
        <v>2966.1</v>
      </c>
      <c r="E23" s="5" t="n">
        <f aca="false">ROUND(SUMIF('Line Items'!$D$2:$D$238,$A23,'Line Items'!$L$2:$L$238),2)</f>
        <v>266.95</v>
      </c>
      <c r="F23" s="5" t="n">
        <f aca="false">E23</f>
        <v>266.95</v>
      </c>
      <c r="G23" s="5" t="n">
        <f aca="false">D23+E23+F23</f>
        <v>3500</v>
      </c>
    </row>
    <row r="24" customFormat="false" ht="15" hidden="false" customHeight="false" outlineLevel="0" collapsed="false">
      <c r="A24" s="4" t="s">
        <v>427</v>
      </c>
      <c r="B24" s="15" t="n">
        <f aca="false">COUNTIF('Line Items'!$D$2:$D$238,$A24)</f>
        <v>2</v>
      </c>
      <c r="C24" s="15" t="n">
        <f aca="false">SUMIF('Line Items'!$D$2:$D$238,$A24,'Line Items'!$F$2:$F$238)</f>
        <v>7</v>
      </c>
      <c r="D24" s="5" t="n">
        <f aca="false">ROUND(SUMIF('Line Items'!$D$2:$D$238,$A24,'Line Items'!$J$2:$J$238),2)</f>
        <v>700.34</v>
      </c>
      <c r="E24" s="5" t="n">
        <f aca="false">ROUND(SUMIF('Line Items'!$D$2:$D$238,$A24,'Line Items'!$L$2:$L$238),2)</f>
        <v>63.03</v>
      </c>
      <c r="F24" s="5" t="n">
        <f aca="false">E24</f>
        <v>63.03</v>
      </c>
      <c r="G24" s="5" t="n">
        <f aca="false">D24+E24+F24</f>
        <v>826.4</v>
      </c>
    </row>
    <row r="25" customFormat="false" ht="15" hidden="false" customHeight="false" outlineLevel="0" collapsed="false">
      <c r="A25" s="4" t="s">
        <v>347</v>
      </c>
      <c r="B25" s="15" t="n">
        <f aca="false">COUNTIF('Line Items'!$D$2:$D$238,$A25)</f>
        <v>1</v>
      </c>
      <c r="C25" s="15" t="n">
        <f aca="false">SUMIF('Line Items'!$D$2:$D$238,$A25,'Line Items'!$F$2:$F$238)</f>
        <v>1</v>
      </c>
      <c r="D25" s="5" t="n">
        <f aca="false">ROUND(SUMIF('Line Items'!$D$2:$D$238,$A25,'Line Items'!$J$2:$J$238),2)</f>
        <v>33.9</v>
      </c>
      <c r="E25" s="5" t="n">
        <f aca="false">ROUND(SUMIF('Line Items'!$D$2:$D$238,$A25,'Line Items'!$L$2:$L$238),2)</f>
        <v>3.05</v>
      </c>
      <c r="F25" s="5" t="n">
        <f aca="false">E25</f>
        <v>3.05</v>
      </c>
      <c r="G25" s="5" t="n">
        <f aca="false">D25+E25+F25</f>
        <v>40</v>
      </c>
    </row>
    <row r="26" customFormat="false" ht="15" hidden="false" customHeight="false" outlineLevel="0" collapsed="false">
      <c r="A26" s="4" t="s">
        <v>58</v>
      </c>
      <c r="B26" s="15" t="n">
        <f aca="false">COUNTIF('Line Items'!$D$2:$D$238,$A26)</f>
        <v>2</v>
      </c>
      <c r="C26" s="15" t="n">
        <f aca="false">SUMIF('Line Items'!$D$2:$D$238,$A26,'Line Items'!$F$2:$F$238)</f>
        <v>10</v>
      </c>
      <c r="D26" s="5" t="n">
        <f aca="false">ROUND(SUMIF('Line Items'!$D$2:$D$238,$A26,'Line Items'!$J$2:$J$238),2)</f>
        <v>1406.78</v>
      </c>
      <c r="E26" s="5" t="n">
        <f aca="false">ROUND(SUMIF('Line Items'!$D$2:$D$238,$A26,'Line Items'!$L$2:$L$238),2)</f>
        <v>126.61</v>
      </c>
      <c r="F26" s="5" t="n">
        <f aca="false">E26</f>
        <v>126.61</v>
      </c>
      <c r="G26" s="5" t="n">
        <f aca="false">D26+E26+F26</f>
        <v>1660</v>
      </c>
    </row>
    <row r="27" customFormat="false" ht="15" hidden="false" customHeight="false" outlineLevel="0" collapsed="false">
      <c r="A27" s="4" t="s">
        <v>422</v>
      </c>
      <c r="B27" s="15" t="n">
        <f aca="false">COUNTIF('Line Items'!$D$2:$D$238,$A27)</f>
        <v>1</v>
      </c>
      <c r="C27" s="15" t="n">
        <f aca="false">SUMIF('Line Items'!$D$2:$D$238,$A27,'Line Items'!$F$2:$F$238)</f>
        <v>20</v>
      </c>
      <c r="D27" s="5" t="n">
        <f aca="false">ROUND(SUMIF('Line Items'!$D$2:$D$238,$A27,'Line Items'!$J$2:$J$238),2)</f>
        <v>149.15</v>
      </c>
      <c r="E27" s="5" t="n">
        <f aca="false">ROUND(SUMIF('Line Items'!$D$2:$D$238,$A27,'Line Items'!$L$2:$L$238),2)</f>
        <v>13.42</v>
      </c>
      <c r="F27" s="5" t="n">
        <f aca="false">E27</f>
        <v>13.42</v>
      </c>
      <c r="G27" s="5" t="n">
        <f aca="false">D27+E27+F27</f>
        <v>175.99</v>
      </c>
    </row>
    <row r="28" customFormat="false" ht="15" hidden="false" customHeight="false" outlineLevel="0" collapsed="false">
      <c r="A28" s="4" t="s">
        <v>31</v>
      </c>
      <c r="B28" s="15" t="n">
        <f aca="false">COUNTIF('Line Items'!$D$2:$D$238,$A28)</f>
        <v>2</v>
      </c>
      <c r="C28" s="15" t="n">
        <f aca="false">SUMIF('Line Items'!$D$2:$D$238,$A28,'Line Items'!$F$2:$F$238)</f>
        <v>25</v>
      </c>
      <c r="D28" s="5" t="n">
        <f aca="false">ROUND(SUMIF('Line Items'!$D$2:$D$238,$A28,'Line Items'!$J$2:$J$238),2)</f>
        <v>318.64</v>
      </c>
      <c r="E28" s="5" t="n">
        <f aca="false">ROUND(SUMIF('Line Items'!$D$2:$D$238,$A28,'Line Items'!$L$2:$L$238),2)</f>
        <v>28.67</v>
      </c>
      <c r="F28" s="5" t="n">
        <f aca="false">E28</f>
        <v>28.67</v>
      </c>
      <c r="G28" s="5" t="n">
        <f aca="false">D28+E28+F28</f>
        <v>375.98</v>
      </c>
    </row>
    <row r="29" customFormat="false" ht="15" hidden="false" customHeight="false" outlineLevel="0" collapsed="false">
      <c r="A29" s="4" t="s">
        <v>25</v>
      </c>
      <c r="B29" s="15" t="n">
        <f aca="false">COUNTIF('Line Items'!$D$2:$D$238,$A29)</f>
        <v>3</v>
      </c>
      <c r="C29" s="15" t="n">
        <f aca="false">SUMIF('Line Items'!$D$2:$D$238,$A29,'Line Items'!$F$2:$F$238)</f>
        <v>50</v>
      </c>
      <c r="D29" s="5" t="n">
        <f aca="false">ROUND(SUMIF('Line Items'!$D$2:$D$238,$A29,'Line Items'!$J$2:$J$238),2)</f>
        <v>4711.86</v>
      </c>
      <c r="E29" s="5" t="n">
        <f aca="false">ROUND(SUMIF('Line Items'!$D$2:$D$238,$A29,'Line Items'!$L$2:$L$238),2)</f>
        <v>424.07</v>
      </c>
      <c r="F29" s="5" t="n">
        <f aca="false">E29</f>
        <v>424.07</v>
      </c>
      <c r="G29" s="5" t="n">
        <f aca="false">D29+E29+F29</f>
        <v>5560</v>
      </c>
    </row>
    <row r="30" customFormat="false" ht="15" hidden="false" customHeight="false" outlineLevel="0" collapsed="false">
      <c r="A30" s="4" t="s">
        <v>37</v>
      </c>
      <c r="B30" s="15" t="n">
        <f aca="false">COUNTIF('Line Items'!$D$2:$D$238,$A30)</f>
        <v>1</v>
      </c>
      <c r="C30" s="15" t="n">
        <f aca="false">SUMIF('Line Items'!$D$2:$D$238,$A30,'Line Items'!$F$2:$F$238)</f>
        <v>5</v>
      </c>
      <c r="D30" s="5" t="n">
        <f aca="false">ROUND(SUMIF('Line Items'!$D$2:$D$238,$A30,'Line Items'!$J$2:$J$238),2)</f>
        <v>169.49</v>
      </c>
      <c r="E30" s="5" t="n">
        <f aca="false">ROUND(SUMIF('Line Items'!$D$2:$D$238,$A30,'Line Items'!$L$2:$L$238),2)</f>
        <v>15.25</v>
      </c>
      <c r="F30" s="5" t="n">
        <f aca="false">E30</f>
        <v>15.25</v>
      </c>
      <c r="G30" s="5" t="n">
        <f aca="false">D30+E30+F30</f>
        <v>199.99</v>
      </c>
    </row>
    <row r="31" customFormat="false" ht="15" hidden="false" customHeight="false" outlineLevel="0" collapsed="false">
      <c r="A31" s="4" t="s">
        <v>34</v>
      </c>
      <c r="B31" s="15" t="n">
        <f aca="false">COUNTIF('Line Items'!$D$2:$D$238,$A31)</f>
        <v>157</v>
      </c>
      <c r="C31" s="15" t="n">
        <f aca="false">SUMIF('Line Items'!$D$2:$D$238,$A31,'Line Items'!$F$2:$F$238)</f>
        <v>1373</v>
      </c>
      <c r="D31" s="5" t="n">
        <f aca="false">ROUND(SUMIF('Line Items'!$D$2:$D$238,$A31,'Line Items'!$J$2:$J$238),2)</f>
        <v>185557.27</v>
      </c>
      <c r="E31" s="5" t="n">
        <f aca="false">ROUND(SUMIF('Line Items'!$D$2:$D$238,$A31,'Line Items'!$L$2:$L$238),2)</f>
        <v>16700.18</v>
      </c>
      <c r="F31" s="5" t="n">
        <f aca="false">E31</f>
        <v>16700.18</v>
      </c>
      <c r="G31" s="5" t="n">
        <f aca="false">D31+E31+F31</f>
        <v>218957.63</v>
      </c>
    </row>
    <row r="32" customFormat="false" ht="15" hidden="false" customHeight="false" outlineLevel="0" collapsed="false">
      <c r="A32" s="4" t="s">
        <v>55</v>
      </c>
      <c r="B32" s="15" t="n">
        <f aca="false">COUNTIF('Line Items'!$D$2:$D$238,$A32)</f>
        <v>2</v>
      </c>
      <c r="C32" s="15" t="n">
        <f aca="false">SUMIF('Line Items'!$D$2:$D$238,$A32,'Line Items'!$F$2:$F$238)</f>
        <v>11</v>
      </c>
      <c r="D32" s="5" t="n">
        <f aca="false">ROUND(SUMIF('Line Items'!$D$2:$D$238,$A32,'Line Items'!$J$2:$J$238),2)</f>
        <v>718.65</v>
      </c>
      <c r="E32" s="5" t="n">
        <f aca="false">ROUND(SUMIF('Line Items'!$D$2:$D$238,$A32,'Line Items'!$L$2:$L$238),2)</f>
        <v>64.68</v>
      </c>
      <c r="F32" s="5" t="n">
        <f aca="false">E32</f>
        <v>64.68</v>
      </c>
      <c r="G32" s="5" t="n">
        <f aca="false">D32+E32+F32</f>
        <v>848.01</v>
      </c>
    </row>
    <row r="33" customFormat="false" ht="15" hidden="false" customHeight="false" outlineLevel="0" collapsed="false">
      <c r="A33" s="4" t="s">
        <v>50</v>
      </c>
      <c r="B33" s="15" t="n">
        <f aca="false">COUNTIF('Line Items'!$D$2:$D$238,$A33)</f>
        <v>2</v>
      </c>
      <c r="C33" s="15" t="n">
        <f aca="false">SUMIF('Line Items'!$D$2:$D$238,$A33,'Line Items'!$F$2:$F$238)</f>
        <v>4</v>
      </c>
      <c r="D33" s="5" t="n">
        <f aca="false">ROUND(SUMIF('Line Items'!$D$2:$D$238,$A33,'Line Items'!$J$2:$J$238),2)</f>
        <v>1837.29</v>
      </c>
      <c r="E33" s="5" t="n">
        <f aca="false">ROUND(SUMIF('Line Items'!$D$2:$D$238,$A33,'Line Items'!$L$2:$L$238),2)</f>
        <v>165.35</v>
      </c>
      <c r="F33" s="5" t="n">
        <f aca="false">E33</f>
        <v>165.35</v>
      </c>
      <c r="G33" s="5" t="n">
        <f aca="false">D33+E33+F33</f>
        <v>2167.99</v>
      </c>
    </row>
    <row r="34" customFormat="false" ht="15" hidden="false" customHeight="false" outlineLevel="0" collapsed="false">
      <c r="A34" s="8" t="s">
        <v>525</v>
      </c>
      <c r="B34" s="17" t="n">
        <f aca="false">SUM(B4:B33)</f>
        <v>237</v>
      </c>
      <c r="C34" s="17" t="n">
        <f aca="false">SUM(C4:C33)</f>
        <v>2530</v>
      </c>
      <c r="D34" s="9" t="n">
        <f aca="false">SUM(D4:D33)</f>
        <v>254833.86</v>
      </c>
      <c r="E34" s="9" t="n">
        <f aca="false">SUM(E4:E33)</f>
        <v>22935.05</v>
      </c>
      <c r="F34" s="9" t="n">
        <f aca="false">SUM(F4:F33)</f>
        <v>22935.05</v>
      </c>
      <c r="G34" s="9" t="n">
        <f aca="false">SUM(G4:G33)</f>
        <v>300703.96</v>
      </c>
    </row>
    <row r="36" customFormat="false" ht="15" hidden="false" customHeight="false" outlineLevel="0" collapsed="false">
      <c r="A36" s="13" t="s">
        <v>569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46"/>
    <col collapsed="false" customWidth="true" hidden="false" outlineLevel="0" max="4" min="3" style="0" width="18"/>
  </cols>
  <sheetData>
    <row r="1" customFormat="false" ht="16.15" hidden="false" customHeight="false" outlineLevel="0" collapsed="false">
      <c r="A1" s="12" t="s">
        <v>570</v>
      </c>
    </row>
    <row r="3" customFormat="false" ht="15" hidden="false" customHeight="false" outlineLevel="0" collapsed="false">
      <c r="A3" s="18" t="s">
        <v>571</v>
      </c>
      <c r="B3" s="19" t="s">
        <v>572</v>
      </c>
    </row>
    <row r="4" customFormat="false" ht="23.85" hidden="false" customHeight="false" outlineLevel="0" collapsed="false">
      <c r="A4" s="18" t="s">
        <v>573</v>
      </c>
      <c r="B4" s="19" t="s">
        <v>574</v>
      </c>
    </row>
    <row r="5" customFormat="false" ht="15" hidden="false" customHeight="false" outlineLevel="0" collapsed="false">
      <c r="A5" s="18" t="s">
        <v>575</v>
      </c>
      <c r="B5" s="19" t="s">
        <v>576</v>
      </c>
    </row>
    <row r="6" customFormat="false" ht="15" hidden="false" customHeight="false" outlineLevel="0" collapsed="false">
      <c r="A6" s="18" t="s">
        <v>577</v>
      </c>
      <c r="B6" s="19" t="s">
        <v>578</v>
      </c>
    </row>
    <row r="7" customFormat="false" ht="15" hidden="false" customHeight="false" outlineLevel="0" collapsed="false">
      <c r="A7" s="18" t="s">
        <v>579</v>
      </c>
      <c r="B7" s="19" t="s">
        <v>580</v>
      </c>
    </row>
    <row r="8" customFormat="false" ht="15" hidden="false" customHeight="false" outlineLevel="0" collapsed="false">
      <c r="A8" s="18" t="s">
        <v>581</v>
      </c>
      <c r="B8" s="19" t="s">
        <v>582</v>
      </c>
    </row>
    <row r="9" customFormat="false" ht="15" hidden="false" customHeight="false" outlineLevel="0" collapsed="false">
      <c r="A9" s="18"/>
      <c r="B9" s="19"/>
    </row>
    <row r="10" customFormat="false" ht="15" hidden="false" customHeight="false" outlineLevel="0" collapsed="false">
      <c r="A10" s="18" t="s">
        <v>583</v>
      </c>
      <c r="B10" s="19" t="s">
        <v>584</v>
      </c>
    </row>
    <row r="11" customFormat="false" ht="15" hidden="false" customHeight="false" outlineLevel="0" collapsed="false">
      <c r="A11" s="18" t="s">
        <v>585</v>
      </c>
      <c r="B11" s="19" t="s">
        <v>586</v>
      </c>
    </row>
    <row r="12" customFormat="false" ht="15" hidden="false" customHeight="false" outlineLevel="0" collapsed="false">
      <c r="A12" s="18" t="s">
        <v>587</v>
      </c>
      <c r="B12" s="19" t="s">
        <v>588</v>
      </c>
    </row>
    <row r="13" customFormat="false" ht="23.85" hidden="false" customHeight="false" outlineLevel="0" collapsed="false">
      <c r="A13" s="18" t="s">
        <v>589</v>
      </c>
      <c r="B13" s="19" t="s">
        <v>590</v>
      </c>
    </row>
    <row r="14" customFormat="false" ht="15" hidden="false" customHeight="false" outlineLevel="0" collapsed="false">
      <c r="A14" s="18" t="s">
        <v>591</v>
      </c>
      <c r="B14" s="19" t="s">
        <v>592</v>
      </c>
    </row>
    <row r="15" customFormat="false" ht="15" hidden="false" customHeight="false" outlineLevel="0" collapsed="false">
      <c r="A15" s="18" t="s">
        <v>593</v>
      </c>
      <c r="B15" s="19" t="s">
        <v>594</v>
      </c>
    </row>
    <row r="16" customFormat="false" ht="15" hidden="false" customHeight="false" outlineLevel="0" collapsed="false">
      <c r="A16" s="18"/>
      <c r="B16" s="19"/>
    </row>
    <row r="17" customFormat="false" ht="15" hidden="false" customHeight="false" outlineLevel="0" collapsed="false">
      <c r="A17" s="18" t="s">
        <v>595</v>
      </c>
      <c r="B17" s="19" t="s">
        <v>596</v>
      </c>
    </row>
    <row r="18" customFormat="false" ht="23.85" hidden="false" customHeight="false" outlineLevel="0" collapsed="false">
      <c r="A18" s="18" t="s">
        <v>597</v>
      </c>
      <c r="B18" s="19" t="s">
        <v>598</v>
      </c>
    </row>
    <row r="19" customFormat="false" ht="15" hidden="false" customHeight="false" outlineLevel="0" collapsed="false">
      <c r="A19" s="18" t="s">
        <v>599</v>
      </c>
      <c r="B19" s="19" t="s">
        <v>600</v>
      </c>
    </row>
    <row r="20" customFormat="false" ht="15" hidden="false" customHeight="false" outlineLevel="0" collapsed="false">
      <c r="A20" s="18" t="s">
        <v>601</v>
      </c>
      <c r="B20" s="19" t="s">
        <v>602</v>
      </c>
    </row>
    <row r="21" customFormat="false" ht="23.85" hidden="false" customHeight="false" outlineLevel="0" collapsed="false">
      <c r="A21" s="18" t="s">
        <v>603</v>
      </c>
      <c r="B21" s="19" t="s">
        <v>604</v>
      </c>
    </row>
    <row r="22" customFormat="false" ht="15" hidden="false" customHeight="false" outlineLevel="0" collapsed="false">
      <c r="A22" s="18"/>
      <c r="B22" s="19"/>
    </row>
    <row r="23" customFormat="false" ht="15" hidden="false" customHeight="false" outlineLevel="0" collapsed="false">
      <c r="A23" s="18" t="s">
        <v>605</v>
      </c>
      <c r="B23" s="19" t="s">
        <v>606</v>
      </c>
    </row>
    <row r="24" customFormat="false" ht="15" hidden="false" customHeight="false" outlineLevel="0" collapsed="false">
      <c r="A24" s="18" t="s">
        <v>607</v>
      </c>
      <c r="B24" s="19" t="s">
        <v>608</v>
      </c>
    </row>
    <row r="25" customFormat="false" ht="15" hidden="false" customHeight="false" outlineLevel="0" collapsed="false">
      <c r="A25" s="18" t="s">
        <v>609</v>
      </c>
      <c r="B25" s="19" t="s">
        <v>610</v>
      </c>
    </row>
    <row r="27" customFormat="false" ht="16.15" hidden="false" customHeight="false" outlineLevel="0" collapsed="false">
      <c r="A27" s="12" t="s">
        <v>611</v>
      </c>
    </row>
    <row r="28" customFormat="false" ht="15" hidden="false" customHeight="false" outlineLevel="0" collapsed="false">
      <c r="A28" s="20" t="s">
        <v>612</v>
      </c>
      <c r="B28" s="20"/>
      <c r="C28" s="20" t="s">
        <v>613</v>
      </c>
      <c r="D28" s="20" t="s">
        <v>614</v>
      </c>
    </row>
    <row r="29" customFormat="false" ht="15" hidden="false" customHeight="false" outlineLevel="0" collapsed="false">
      <c r="A29" s="3" t="s">
        <v>615</v>
      </c>
      <c r="B29" s="21"/>
      <c r="C29" s="14" t="n">
        <v>2530</v>
      </c>
      <c r="D29" s="15" t="n">
        <f aca="false">'Line Items'!F239</f>
        <v>2530</v>
      </c>
    </row>
    <row r="30" customFormat="false" ht="15" hidden="false" customHeight="false" outlineLevel="0" collapsed="false">
      <c r="A30" s="3" t="s">
        <v>616</v>
      </c>
      <c r="B30" s="21"/>
      <c r="C30" s="16" t="n">
        <v>318542.37</v>
      </c>
      <c r="D30" s="5" t="n">
        <f aca="false">'Line Items'!H239</f>
        <v>318542.4</v>
      </c>
    </row>
    <row r="31" customFormat="false" ht="15" hidden="false" customHeight="false" outlineLevel="0" collapsed="false">
      <c r="A31" s="3" t="s">
        <v>617</v>
      </c>
      <c r="B31" s="21"/>
      <c r="C31" s="22" t="n">
        <v>0.2</v>
      </c>
      <c r="D31" s="3" t="s">
        <v>618</v>
      </c>
    </row>
    <row r="32" customFormat="false" ht="15" hidden="false" customHeight="false" outlineLevel="0" collapsed="false">
      <c r="A32" s="3" t="s">
        <v>619</v>
      </c>
      <c r="B32" s="21"/>
      <c r="C32" s="16" t="n">
        <v>254833.9</v>
      </c>
      <c r="D32" s="5" t="n">
        <f aca="false">'Line Items'!J239</f>
        <v>254833.86</v>
      </c>
    </row>
    <row r="33" customFormat="false" ht="15" hidden="false" customHeight="false" outlineLevel="0" collapsed="false">
      <c r="A33" s="3" t="s">
        <v>620</v>
      </c>
      <c r="B33" s="21"/>
      <c r="C33" s="16" t="n">
        <v>22935.05</v>
      </c>
      <c r="D33" s="5" t="n">
        <f aca="false">'Line Items'!L239</f>
        <v>22935.05</v>
      </c>
    </row>
    <row r="34" customFormat="false" ht="15" hidden="false" customHeight="false" outlineLevel="0" collapsed="false">
      <c r="A34" s="3" t="s">
        <v>621</v>
      </c>
      <c r="B34" s="21"/>
      <c r="C34" s="16" t="n">
        <v>22935.05</v>
      </c>
      <c r="D34" s="5" t="n">
        <f aca="false">'Line Items'!N239</f>
        <v>22935.05</v>
      </c>
    </row>
    <row r="35" customFormat="false" ht="15" hidden="false" customHeight="false" outlineLevel="0" collapsed="false">
      <c r="A35" s="3" t="s">
        <v>622</v>
      </c>
      <c r="B35" s="21"/>
      <c r="C35" s="16" t="n">
        <v>0</v>
      </c>
      <c r="D35" s="3" t="s">
        <v>618</v>
      </c>
    </row>
    <row r="36" customFormat="false" ht="15" hidden="false" customHeight="false" outlineLevel="0" collapsed="false">
      <c r="A36" s="8" t="s">
        <v>623</v>
      </c>
      <c r="B36" s="8"/>
      <c r="C36" s="9" t="n">
        <v>300704</v>
      </c>
      <c r="D36" s="9" t="n">
        <f aca="false">'Line Items'!O239</f>
        <v>300703.96</v>
      </c>
    </row>
    <row r="38" customFormat="false" ht="15" hidden="false" customHeight="false" outlineLevel="0" collapsed="false">
      <c r="A38" s="23" t="s">
        <v>624</v>
      </c>
      <c r="B38" s="24" t="s">
        <v>625</v>
      </c>
    </row>
    <row r="40" customFormat="false" ht="27.75" hidden="false" customHeight="true" outlineLevel="0" collapsed="false">
      <c r="A40" s="10" t="s">
        <v>626</v>
      </c>
    </row>
    <row r="41" customFormat="false" ht="27.75" hidden="false" customHeight="true" outlineLevel="0" collapsed="false">
      <c r="A41" s="10" t="s">
        <v>627</v>
      </c>
    </row>
    <row r="42" customFormat="false" ht="27.75" hidden="false" customHeight="true" outlineLevel="0" collapsed="false">
      <c r="A42" s="10" t="s">
        <v>628</v>
      </c>
    </row>
    <row r="43" customFormat="false" ht="27.75" hidden="false" customHeight="true" outlineLevel="0" collapsed="false">
      <c r="A43" s="10" t="s">
        <v>629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2026-08-31T16:43:23Z</dcterms:created>
  <dc:creator>openpyxl</dc:creator>
  <dc:description/>
  <dc:language>en-US</dc:language>
  <cp:lastModifiedBy/>
  <dcterms:modified xsi:type="dcterms:W3CDTF">2026-08-31T16:43:24Z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