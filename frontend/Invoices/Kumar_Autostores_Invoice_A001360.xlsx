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e Items" sheetId="1" state="visible" r:id="rId3"/>
    <sheet name="Summary" sheetId="2" state="visible" r:id="rId4"/>
  </sheets>
  <definedNames>
    <definedName function="false" hidden="true" localSheetId="0" name="_xlnm._FilterDatabase" vbProcedure="false">'Line Items'!$A$4:$S$114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<sst xmlns="http://schemas.openxmlformats.org/spreadsheetml/2006/main" count="570" uniqueCount="347">
  <si>
    <t xml:space="preserve">KUMAR AUTOSTORES  —  Tax Invoice (Credit) No. A001360  —  Dated 22/06/2026</t>
  </si>
  <si>
    <t xml:space="preserve">Buyer: M/s SRI SRI SATYA SAI AUTMOBILE AG, Tadepalligudem 534101  |  Blue text = value printed on the invoice  |  Black text = calculated by formula</t>
  </si>
  <si>
    <t xml:space="preserve">S.No</t>
  </si>
  <si>
    <t xml:space="preserve">Brand</t>
  </si>
  <si>
    <t xml:space="preserve">Item Code</t>
  </si>
  <si>
    <t xml:space="preserve">Description</t>
  </si>
  <si>
    <t xml:space="preserve">HSN</t>
  </si>
  <si>
    <t xml:space="preserve">MRP (₹)</t>
  </si>
  <si>
    <t xml:space="preserve">Disc 1</t>
  </si>
  <si>
    <t xml:space="preserve">Disc 2</t>
  </si>
  <si>
    <t xml:space="preserve">Net Rate (₹) printed</t>
  </si>
  <si>
    <t xml:space="preserve">Net Rate (₹) exact</t>
  </si>
  <si>
    <t xml:space="preserve">Qty</t>
  </si>
  <si>
    <t xml:space="preserve">Line Amt incl. GST (₹)</t>
  </si>
  <si>
    <t xml:space="preserve">GST %</t>
  </si>
  <si>
    <t xml:space="preserve">Taxable Value (₹) printed</t>
  </si>
  <si>
    <t xml:space="preserve">Taxable Value (₹) recalc</t>
  </si>
  <si>
    <t xml:space="preserve">Diff</t>
  </si>
  <si>
    <t xml:space="preserve">GST Amount (₹)</t>
  </si>
  <si>
    <t xml:space="preserve">Line Total (₹)</t>
  </si>
  <si>
    <t xml:space="preserve">Notes</t>
  </si>
  <si>
    <t xml:space="preserve">ACCURAT</t>
  </si>
  <si>
    <t xml:space="preserve">9194</t>
  </si>
  <si>
    <t xml:space="preserve">CENTRE STAND SRING SPLENDOR</t>
  </si>
  <si>
    <t xml:space="preserve">73181500</t>
  </si>
  <si>
    <t xml:space="preserve">9119</t>
  </si>
  <si>
    <t xml:space="preserve">KICK JOINT SPLENDOR</t>
  </si>
  <si>
    <t xml:space="preserve">5116</t>
  </si>
  <si>
    <t xml:space="preserve">SHIELD SCREW 10X25 H ACT</t>
  </si>
  <si>
    <t xml:space="preserve">9305</t>
  </si>
  <si>
    <t xml:space="preserve">SPRING BRAKE PADALE SPLENDOR</t>
  </si>
  <si>
    <t xml:space="preserve">ASK NET</t>
  </si>
  <si>
    <t xml:space="preserve">531</t>
  </si>
  <si>
    <t xml:space="preserve">DISK PAD SUZUKI ACCESS 125</t>
  </si>
  <si>
    <t xml:space="preserve">87141090</t>
  </si>
  <si>
    <t xml:space="preserve">511</t>
  </si>
  <si>
    <t xml:space="preserve">DISK PADS FZ FRONT</t>
  </si>
  <si>
    <t xml:space="preserve">523</t>
  </si>
  <si>
    <t xml:space="preserve">SZR/SALTO DISK PAD</t>
  </si>
  <si>
    <t xml:space="preserve">CAMP NET</t>
  </si>
  <si>
    <t xml:space="preserve">CA03L</t>
  </si>
  <si>
    <t xml:space="preserve">CLUCH LEVER HH</t>
  </si>
  <si>
    <t xml:space="preserve">FCC</t>
  </si>
  <si>
    <t xml:space="preserve">ACT-G2CH</t>
  </si>
  <si>
    <t xml:space="preserve">CLUTCH SHOE ASSAMBLY HET</t>
  </si>
  <si>
    <t xml:space="preserve">GEANARAL</t>
  </si>
  <si>
    <t xml:space="preserve">NGK02</t>
  </si>
  <si>
    <t xml:space="preserve">NGK PLUG GLAMOUR</t>
  </si>
  <si>
    <t xml:space="preserve">85122010</t>
  </si>
  <si>
    <t xml:space="preserve">NGK01</t>
  </si>
  <si>
    <t xml:space="preserve">NGK PLUG HH</t>
  </si>
  <si>
    <t xml:space="preserve">HTA</t>
  </si>
  <si>
    <t xml:space="preserve">HTA-6374</t>
  </si>
  <si>
    <t xml:space="preserve">FORK OIL SEAL SPL/BOXR/PULSAR</t>
  </si>
  <si>
    <t xml:space="preserve">40169330</t>
  </si>
  <si>
    <t xml:space="preserve">KING</t>
  </si>
  <si>
    <t xml:space="preserve">KQ-129C</t>
  </si>
  <si>
    <t xml:space="preserve">DISCOVE CLUCH LEVER/PLATN 125</t>
  </si>
  <si>
    <t xml:space="preserve">KQ-252B</t>
  </si>
  <si>
    <t xml:space="preserve">HH BRACK LEVER SET</t>
  </si>
  <si>
    <t xml:space="preserve">LUMAX IND</t>
  </si>
  <si>
    <t xml:space="preserve">218-HLU-XT</t>
  </si>
  <si>
    <t xml:space="preserve">CBZ X H L ASSY</t>
  </si>
  <si>
    <t xml:space="preserve">248-SVM-DTL</t>
  </si>
  <si>
    <t xml:space="preserve">PULSAR DTSI SVM LHS</t>
  </si>
  <si>
    <t xml:space="preserve">248-SVM-DTR</t>
  </si>
  <si>
    <t xml:space="preserve">PULSAR DTSI SVM RHS</t>
  </si>
  <si>
    <t xml:space="preserve">TD-5030B</t>
  </si>
  <si>
    <t xml:space="preserve">SHINE IND SET</t>
  </si>
  <si>
    <t xml:space="preserve">Same code as S.No 19 at a different MRP — billed as two separate lines</t>
  </si>
  <si>
    <t xml:space="preserve">Same code as S.No 18 at a different MRP — billed as two separate lines</t>
  </si>
  <si>
    <t xml:space="preserve">238-TLLUNIC1N</t>
  </si>
  <si>
    <t xml:space="preserve">TAIL LIGHT INNER UNICORN</t>
  </si>
  <si>
    <t xml:space="preserve">238-TLL UNIC-O</t>
  </si>
  <si>
    <t xml:space="preserve">UNICORN TL LENS</t>
  </si>
  <si>
    <t xml:space="preserve">MICO</t>
  </si>
  <si>
    <t xml:space="preserve">U4A</t>
  </si>
  <si>
    <t xml:space="preserve">MICO PULG HH</t>
  </si>
  <si>
    <t xml:space="preserve">MINDA</t>
  </si>
  <si>
    <t xml:space="preserve">SW-0505F</t>
  </si>
  <si>
    <t xml:space="preserve">F B SWITCH SPLENDOR</t>
  </si>
  <si>
    <t xml:space="preserve">85443000</t>
  </si>
  <si>
    <t xml:space="preserve">SW-0685BQ</t>
  </si>
  <si>
    <t xml:space="preserve">HBS LH GLAMOUR-2015 COMBI METER(D16)</t>
  </si>
  <si>
    <t xml:space="preserve">SW-0685T</t>
  </si>
  <si>
    <t xml:space="preserve">HBS-LH SELF START</t>
  </si>
  <si>
    <t xml:space="preserve">SW-0519A</t>
  </si>
  <si>
    <t xml:space="preserve">REAR BRACK SWITCH SPLENDOR</t>
  </si>
  <si>
    <t xml:space="preserve">MINDA BRA-AIR</t>
  </si>
  <si>
    <t xml:space="preserve">HL-5182B</t>
  </si>
  <si>
    <t xml:space="preserve">H L ASSY XL-SUPER</t>
  </si>
  <si>
    <t xml:space="preserve">MINDA SPARK</t>
  </si>
  <si>
    <t xml:space="preserve">SW-1278Z</t>
  </si>
  <si>
    <t xml:space="preserve">IGN SWITCH SHINE/TWISTER</t>
  </si>
  <si>
    <t xml:space="preserve">NV</t>
  </si>
  <si>
    <t xml:space="preserve">GAF011</t>
  </si>
  <si>
    <t xml:space="preserve">ACCESS 125 AIR FILTER</t>
  </si>
  <si>
    <t xml:space="preserve">NJA363</t>
  </si>
  <si>
    <t xml:space="preserve">CHAIN ADJUSTER SET GLAMOUR</t>
  </si>
  <si>
    <t xml:space="preserve">NAJ836</t>
  </si>
  <si>
    <t xml:space="preserve">HEAD LIGHT BRACKT RUBBER</t>
  </si>
  <si>
    <t xml:space="preserve">NJA349</t>
  </si>
  <si>
    <t xml:space="preserve">SHIELD CLIP UNIVERSAL 10MM</t>
  </si>
  <si>
    <t xml:space="preserve">NJA152</t>
  </si>
  <si>
    <t xml:space="preserve">SILNCER BEND PIPES PLEASURE</t>
  </si>
  <si>
    <t xml:space="preserve">REMSONS</t>
  </si>
  <si>
    <t xml:space="preserve">2YM07AC</t>
  </si>
  <si>
    <t xml:space="preserve">ACCELETOR CA BLE-1 YAMAHA MTR FZ FI</t>
  </si>
  <si>
    <t xml:space="preserve">87149990</t>
  </si>
  <si>
    <t xml:space="preserve">S.No obscured by pen mark in scan</t>
  </si>
  <si>
    <t xml:space="preserve">ROLAN</t>
  </si>
  <si>
    <t xml:space="preserve">150ML</t>
  </si>
  <si>
    <t xml:space="preserve">CHAIN SPRAY 150ML</t>
  </si>
  <si>
    <t xml:space="preserve">ROLAN BELTS</t>
  </si>
  <si>
    <t xml:space="preserve">CCV-740</t>
  </si>
  <si>
    <t xml:space="preserve">BELT ACTIVA/PLEASURE/MAESTRO</t>
  </si>
  <si>
    <t xml:space="preserve">40101190</t>
  </si>
  <si>
    <t xml:space="preserve">CCV-750</t>
  </si>
  <si>
    <t xml:space="preserve">BELT AVAITOR</t>
  </si>
  <si>
    <t xml:space="preserve">CCV-757</t>
  </si>
  <si>
    <t xml:space="preserve">BELT HERO DUET/MAESTRO EDGE</t>
  </si>
  <si>
    <t xml:space="preserve">SAI</t>
  </si>
  <si>
    <t xml:space="preserve">SAI-267</t>
  </si>
  <si>
    <t xml:space="preserve">FF GLM LST BLK</t>
  </si>
  <si>
    <t xml:space="preserve">SAI-597</t>
  </si>
  <si>
    <t xml:space="preserve">FF PUL UG-8 150180 BLK (RED STK)</t>
  </si>
  <si>
    <t xml:space="preserve">SAI-597A</t>
  </si>
  <si>
    <t xml:space="preserve">FF PUL UG-8 150180 BLK (BLUE STK)</t>
  </si>
  <si>
    <t xml:space="preserve">SAI-03A</t>
  </si>
  <si>
    <t xml:space="preserve">FF UNICORN RED</t>
  </si>
  <si>
    <t xml:space="preserve">SAI-852A</t>
  </si>
  <si>
    <t xml:space="preserve">FF UNICORN BS6 MATTE GREY</t>
  </si>
  <si>
    <t xml:space="preserve">SAI-442B</t>
  </si>
  <si>
    <t xml:space="preserve">HL VISOR (WG) PASSION PRO (TYPE-3) BLK W GREY…</t>
  </si>
  <si>
    <t xml:space="preserve">Description cut off in scan by HSN column</t>
  </si>
  <si>
    <t xml:space="preserve">SAI-853A</t>
  </si>
  <si>
    <t xml:space="preserve">HL VISOR (WG) &amp; GRNSH UNICORN BS6 RED**</t>
  </si>
  <si>
    <t xml:space="preserve">SAI-512D</t>
  </si>
  <si>
    <t xml:space="preserve">HL VISOR (WG) CB SHINE SP GREY</t>
  </si>
  <si>
    <t xml:space="preserve">SAI-455B</t>
  </si>
  <si>
    <t xml:space="preserve">HL VISOR ACT- 3G GREY</t>
  </si>
  <si>
    <t xml:space="preserve">SAI-301-VG</t>
  </si>
  <si>
    <t xml:space="preserve">HL VISOR GLASS FIT GLM LST NM</t>
  </si>
  <si>
    <t xml:space="preserve">SAI-720A</t>
  </si>
  <si>
    <t xml:space="preserve">HL VISOR HF DLX BS6 (2020) BLK W SILVER STI</t>
  </si>
  <si>
    <t xml:space="preserve">SAI-720F</t>
  </si>
  <si>
    <t xml:space="preserve">HL VISOR HF DLX BS6 (2020) BLK W BLUE STI</t>
  </si>
  <si>
    <t xml:space="preserve">SAI-185A</t>
  </si>
  <si>
    <t xml:space="preserve">HL VISOR WG &amp; GRNSH CB UNICORN NMRED</t>
  </si>
  <si>
    <t xml:space="preserve">SAI-515</t>
  </si>
  <si>
    <t xml:space="preserve">RC  PUL 150 UG-7 BLK W RED STI</t>
  </si>
  <si>
    <t xml:space="preserve">SAI-515B</t>
  </si>
  <si>
    <t xml:space="preserve">RC  PUL 150 UG-7 BLK W SILVER STI</t>
  </si>
  <si>
    <t xml:space="preserve">SAI-721F</t>
  </si>
  <si>
    <t xml:space="preserve">RC ( OF 3) HF DLX BS6 (2020) BLK W BLUE STI</t>
  </si>
  <si>
    <t xml:space="preserve">SAI-210A</t>
  </si>
  <si>
    <t xml:space="preserve">RC ( OF 3) CB UNICORN (NM) RED</t>
  </si>
  <si>
    <t xml:space="preserve">SAI-889A</t>
  </si>
  <si>
    <t xml:space="preserve">RC ( OF 3) UNICORN BS6 SPARTEN RED**</t>
  </si>
  <si>
    <t xml:space="preserve">SAI-336D</t>
  </si>
  <si>
    <t xml:space="preserve">RC ( OF 6) GLM LST NM (TYPE-4) ORANGE</t>
  </si>
  <si>
    <t xml:space="preserve">SAI-423</t>
  </si>
  <si>
    <t xml:space="preserve">RC ( OF 6) GLM LST NM (TYPE-6) SPORTS RED</t>
  </si>
  <si>
    <t xml:space="preserve">SAI-216</t>
  </si>
  <si>
    <t xml:space="preserve">RC CENTER PLATE GLM BLK</t>
  </si>
  <si>
    <t xml:space="preserve">SAI-216B</t>
  </si>
  <si>
    <t xml:space="preserve">RC CENTER PLATE GLM SPORTS RED</t>
  </si>
  <si>
    <t xml:space="preserve">SAI-216C</t>
  </si>
  <si>
    <t xml:space="preserve">RC CENTER PLATE GLM DARK GREY</t>
  </si>
  <si>
    <t xml:space="preserve">SAI-216F</t>
  </si>
  <si>
    <t xml:space="preserve">RC CENTER PLATE GLM BLUE</t>
  </si>
  <si>
    <t xml:space="preserve">SAI-458A</t>
  </si>
  <si>
    <t xml:space="preserve">SC  CB SHINE (TYPE-5) BLK W GREY STI</t>
  </si>
  <si>
    <t xml:space="preserve">SAI-422</t>
  </si>
  <si>
    <t xml:space="preserve">SC  GLM LST NM (TYPE-6) SPORTS RED</t>
  </si>
  <si>
    <t xml:space="preserve">SAI-458-PP</t>
  </si>
  <si>
    <t xml:space="preserve">SC WPP PART ( OF4) CB SHINE (TYPE-5) BLK W RE…</t>
  </si>
  <si>
    <t xml:space="preserve">SAI-42B</t>
  </si>
  <si>
    <t xml:space="preserve">T.P.F.C  PUL 150180 UG-6 BLK W RED STI</t>
  </si>
  <si>
    <t xml:space="preserve">SAI-42BA</t>
  </si>
  <si>
    <t xml:space="preserve">T.P.F.C  PUL 150180 UG-6 BLK W BLUE STI</t>
  </si>
  <si>
    <t xml:space="preserve">SGI GASKETS</t>
  </si>
  <si>
    <t xml:space="preserve">HHS0011604</t>
  </si>
  <si>
    <t xml:space="preserve">HALF SET KCC+BS6</t>
  </si>
  <si>
    <t xml:space="preserve">84841090</t>
  </si>
  <si>
    <t xml:space="preserve">XLD033006</t>
  </si>
  <si>
    <t xml:space="preserve">SILNCER GASKETS POWER PORT/XL HD 2.5MM</t>
  </si>
  <si>
    <t xml:space="preserve">SIL NET</t>
  </si>
  <si>
    <t xml:space="preserve">HH-12006</t>
  </si>
  <si>
    <t xml:space="preserve">MAIN STAND KIT SPL</t>
  </si>
  <si>
    <t xml:space="preserve">SILVERUP</t>
  </si>
  <si>
    <t xml:space="preserve">KB-13014</t>
  </si>
  <si>
    <t xml:space="preserve">CHAIN ADJUSTER CT-100</t>
  </si>
  <si>
    <t xml:space="preserve">KB-31012</t>
  </si>
  <si>
    <t xml:space="preserve">DTSI F FOOREST RHS</t>
  </si>
  <si>
    <t xml:space="preserve">KB-31011</t>
  </si>
  <si>
    <t xml:space="preserve">F FOOREST ASSY DTSI RHS</t>
  </si>
  <si>
    <t xml:space="preserve">HH-31024</t>
  </si>
  <si>
    <t xml:space="preserve">FRONT FOOREST BRACKET(LEFT) SPL</t>
  </si>
  <si>
    <t xml:space="preserve">HH-31004</t>
  </si>
  <si>
    <t xml:space="preserve">FRONT FOOTREST BRACKET RH SPL</t>
  </si>
  <si>
    <t xml:space="preserve">TV-35011</t>
  </si>
  <si>
    <t xml:space="preserve">GEAR BOX SPROCKET S-XL-100 13-T</t>
  </si>
  <si>
    <t xml:space="preserve">HS-45010</t>
  </si>
  <si>
    <t xml:space="preserve">KICK LEVER SHINE</t>
  </si>
  <si>
    <t xml:space="preserve">SU-45033</t>
  </si>
  <si>
    <t xml:space="preserve">KICK PEDAL ACCESS 125</t>
  </si>
  <si>
    <t xml:space="preserve">UN-00214</t>
  </si>
  <si>
    <t xml:space="preserve">NUTS ONLY NO.14</t>
  </si>
  <si>
    <t xml:space="preserve">UN-00510</t>
  </si>
  <si>
    <t xml:space="preserve">PLAIN WASHER NO-10</t>
  </si>
  <si>
    <t xml:space="preserve">HH-65007</t>
  </si>
  <si>
    <t xml:space="preserve">PLUG CAP HH</t>
  </si>
  <si>
    <t xml:space="preserve">HH-65009</t>
  </si>
  <si>
    <t xml:space="preserve">PLUG CAP RED HUNK/S KCC</t>
  </si>
  <si>
    <t xml:space="preserve">HS-68002</t>
  </si>
  <si>
    <t xml:space="preserve">REAR FOOT REST ASSY ACTIVA LATEST LH</t>
  </si>
  <si>
    <t xml:space="preserve">HS-68003</t>
  </si>
  <si>
    <t xml:space="preserve">REAR FOOTREST ASSY ACTIVA LATEST RIGHT</t>
  </si>
  <si>
    <t xml:space="preserve">HH-74000</t>
  </si>
  <si>
    <t xml:space="preserve">SIDE PENAL PATTI PESS</t>
  </si>
  <si>
    <t xml:space="preserve">Same code and description as S.No 86 — billed as two separate lines</t>
  </si>
  <si>
    <t xml:space="preserve">Same code and description as S.No 85 — billed as two separate lines</t>
  </si>
  <si>
    <t xml:space="preserve">KB-80040</t>
  </si>
  <si>
    <t xml:space="preserve">SIDE STAND SPRING PLSR</t>
  </si>
  <si>
    <t xml:space="preserve">SLD</t>
  </si>
  <si>
    <t xml:space="preserve">SLD-11</t>
  </si>
  <si>
    <t xml:space="preserve">FUEL TANK LOCK SPLENDOR</t>
  </si>
  <si>
    <t xml:space="preserve">SLD-280A</t>
  </si>
  <si>
    <t xml:space="preserve">LOCK SET OF 4 SHINE</t>
  </si>
  <si>
    <t xml:space="preserve">83012000</t>
  </si>
  <si>
    <t xml:space="preserve">SLD-MS18D</t>
  </si>
  <si>
    <t xml:space="preserve">SELF SWITCH ACT OLD</t>
  </si>
  <si>
    <t xml:space="preserve">85365090</t>
  </si>
  <si>
    <t xml:space="preserve">SLD-WL-01</t>
  </si>
  <si>
    <t xml:space="preserve">WHEEL LOCK SLD</t>
  </si>
  <si>
    <t xml:space="preserve">TATA</t>
  </si>
  <si>
    <t xml:space="preserve">TATA-60</t>
  </si>
  <si>
    <t xml:space="preserve">6000 ZZ</t>
  </si>
  <si>
    <t xml:space="preserve">84821020</t>
  </si>
  <si>
    <t xml:space="preserve">TATA-01</t>
  </si>
  <si>
    <t xml:space="preserve">6001</t>
  </si>
  <si>
    <t xml:space="preserve">T6004</t>
  </si>
  <si>
    <t xml:space="preserve">6004-2RS</t>
  </si>
  <si>
    <t xml:space="preserve">T6005</t>
  </si>
  <si>
    <t xml:space="preserve">6005-Z</t>
  </si>
  <si>
    <t xml:space="preserve">TATA-6201</t>
  </si>
  <si>
    <t xml:space="preserve">6201- SETS</t>
  </si>
  <si>
    <t xml:space="preserve">TA6202A</t>
  </si>
  <si>
    <t xml:space="preserve">6202 SET</t>
  </si>
  <si>
    <t xml:space="preserve">TA620</t>
  </si>
  <si>
    <t xml:space="preserve">6202-RS</t>
  </si>
  <si>
    <t xml:space="preserve">TATA-6203</t>
  </si>
  <si>
    <t xml:space="preserve">6203 SET</t>
  </si>
  <si>
    <t xml:space="preserve">TP6302</t>
  </si>
  <si>
    <t xml:space="preserve">6302 SET</t>
  </si>
  <si>
    <t xml:space="preserve">T6205</t>
  </si>
  <si>
    <t xml:space="preserve">TATA-6205</t>
  </si>
  <si>
    <t xml:space="preserve">TATA NET</t>
  </si>
  <si>
    <t xml:space="preserve">TX1721</t>
  </si>
  <si>
    <t xml:space="preserve">6301 SET</t>
  </si>
  <si>
    <t xml:space="preserve">ULTRON</t>
  </si>
  <si>
    <t xml:space="preserve">U-1120A</t>
  </si>
  <si>
    <t xml:space="preserve">P T LOCK CBZ/PASSIN</t>
  </si>
  <si>
    <t xml:space="preserve">U-1122A</t>
  </si>
  <si>
    <t xml:space="preserve">P T LOCK GLAMOUR</t>
  </si>
  <si>
    <t xml:space="preserve">UNITECH 18%</t>
  </si>
  <si>
    <t xml:space="preserve">UT-137</t>
  </si>
  <si>
    <t xml:space="preserve">MUDGUARD REFLECTOR (ROUND) PASSION</t>
  </si>
  <si>
    <t xml:space="preserve">UT-218</t>
  </si>
  <si>
    <t xml:space="preserve">T L ASSY GLAMOUR</t>
  </si>
  <si>
    <t xml:space="preserve">VARROC</t>
  </si>
  <si>
    <t xml:space="preserve">PSPR-3031</t>
  </si>
  <si>
    <t xml:space="preserve">C.D.I UNIT P.PRO/CD DLX</t>
  </si>
  <si>
    <t xml:space="preserve">EE102</t>
  </si>
  <si>
    <t xml:space="preserve">CARBON KIT ASSY PASS PRO BS6</t>
  </si>
  <si>
    <t xml:space="preserve">85459090</t>
  </si>
  <si>
    <t xml:space="preserve">HH14</t>
  </si>
  <si>
    <t xml:space="preserve">CDI SPLENDOR/PASSION</t>
  </si>
  <si>
    <t xml:space="preserve">HH24</t>
  </si>
  <si>
    <t xml:space="preserve">R.R. UNIT SPLENDOR/PASSION</t>
  </si>
  <si>
    <t xml:space="preserve">TOTAL</t>
  </si>
  <si>
    <t xml:space="preserve">110 line items across 26 brands</t>
  </si>
  <si>
    <t xml:space="preserve">•  Source: scanned tax invoice A001360 dated 22/06/2026 from Kumar Autostores (6 pages, 110 line items), transcribed by reading each page image at high resolution.</t>
  </si>
  <si>
    <t xml:space="preserve">•  The invoice's 'Unit Rate' is the MRP after Disc 1, and it is GST-inclusive. Taxable Value on the invoice = Unit Rate × Qty ÷ 1.18.</t>
  </si>
  <si>
    <t xml:space="preserve">•  'Net Rate exact' recomputes the rate as MRP × (1−Disc 1) × (1−Disc 2) without rounding. All 106 lines reconcile to the printed Taxable Value to the paisa on this basis.</t>
  </si>
  <si>
    <t xml:space="preserve">•  Two lines print a rate rounded to 2 dp: S.No 1 (20.63 vs exact 20.625) and S.No 79 (1.60 vs exact 1.595). Their printed Taxable Values are correct — the exact-rate column reproduces them, and S.No 1 is also why ACCURAT nets 2,037.75 rather than 2,037.85.</t>
  </si>
  <si>
    <t xml:space="preserve">•  The 'Diff' column should read 0.00 on every line. Any non-zero value flags a transcription error to check against the scan.</t>
  </si>
  <si>
    <t xml:space="preserve">•  Two pairs of lines repeat an item code: S.No 18/19 (TD-5030B SHINE IND SET, at MRP 300 and 312) and S.No 85/86 (HH-74000 SIDE PENAL PATTI PESS, identical). Both are kept exactly as printed.</t>
  </si>
  <si>
    <t xml:space="preserve">•  The S.No digits for a few rows are covered by pen marks or the binding spiral in the scan (S.No 34, 58, 67, 90, 110). Their position in the sequence is unambiguous and each is flagged in the Notes column.</t>
  </si>
  <si>
    <t xml:space="preserve">•  Sum of the printed Taxable Values is 105,295.61 against the invoice's printed Sub Total of 105,295.57 — a 0.04 rounding drift in the supplier's own software, not a transcription error. Total Qty (1,640) and the Grand Total (124,249.00) both reconcile exactly.</t>
  </si>
  <si>
    <t xml:space="preserve">Invoice Summary</t>
  </si>
  <si>
    <t xml:space="preserve">Supplier</t>
  </si>
  <si>
    <t xml:space="preserve">KUMAR AUTOSTORES</t>
  </si>
  <si>
    <t xml:space="preserve">Supplier address</t>
  </si>
  <si>
    <t xml:space="preserve">4-1-18/1, Keerthi Sadan, G P Road, Vijaya Lakshmi Talkies Back Side, Bhimavaram, West Godavari, Andhra Pradesh</t>
  </si>
  <si>
    <t xml:space="preserve">Supplier GSTIN</t>
  </si>
  <si>
    <t xml:space="preserve">37AITPG4383P1ZB</t>
  </si>
  <si>
    <t xml:space="preserve">Supplier phone / e-mail</t>
  </si>
  <si>
    <t xml:space="preserve">9397111911  |  kumar224632@gmail.com</t>
  </si>
  <si>
    <t xml:space="preserve">Document type</t>
  </si>
  <si>
    <t xml:space="preserve">Tax Invoice — Credit</t>
  </si>
  <si>
    <t xml:space="preserve">Invoice no.</t>
  </si>
  <si>
    <t xml:space="preserve">A001360</t>
  </si>
  <si>
    <t xml:space="preserve">Invoice date</t>
  </si>
  <si>
    <t xml:space="preserve">22/06/2026</t>
  </si>
  <si>
    <t xml:space="preserve">Buyer</t>
  </si>
  <si>
    <t xml:space="preserve">M/s SRI SRI SATYA SAI AUTMOBILE AG</t>
  </si>
  <si>
    <t xml:space="preserve">Buyer address</t>
  </si>
  <si>
    <t xml:space="preserve">Tadepalligudem 2-12-27/1, Railway Station Road, Tadepalligudem – 534101</t>
  </si>
  <si>
    <t xml:space="preserve">Buyer GSTIN</t>
  </si>
  <si>
    <t xml:space="preserve">37CUJPG4763K1Z5</t>
  </si>
  <si>
    <t xml:space="preserve">Buyer phone</t>
  </si>
  <si>
    <t xml:space="preserve">9848725117</t>
  </si>
  <si>
    <t xml:space="preserve">Billed by</t>
  </si>
  <si>
    <t xml:space="preserve">NARAYANA</t>
  </si>
  <si>
    <t xml:space="preserve">W.No &amp; Dt</t>
  </si>
  <si>
    <t xml:space="preserve">Bank</t>
  </si>
  <si>
    <t xml:space="preserve">Bank of Baroda, Bhimavaram — A/c 08360400000167, IFSC BARB0BHIMAV</t>
  </si>
  <si>
    <t xml:space="preserve">Invoice totals</t>
  </si>
  <si>
    <t xml:space="preserve">Calculated</t>
  </si>
  <si>
    <t xml:space="preserve">Printed on invoice</t>
  </si>
  <si>
    <t xml:space="preserve">Basis</t>
  </si>
  <si>
    <t xml:space="preserve">Sub Total (taxable value)</t>
  </si>
  <si>
    <t xml:space="preserve">Sum of printed line taxable values</t>
  </si>
  <si>
    <t xml:space="preserve">SGST @ 9%</t>
  </si>
  <si>
    <t xml:space="preserve">State GST</t>
  </si>
  <si>
    <t xml:space="preserve">CGST @ 9%</t>
  </si>
  <si>
    <t xml:space="preserve">Central GST</t>
  </si>
  <si>
    <t xml:space="preserve">Total GST @ 18%</t>
  </si>
  <si>
    <t xml:space="preserve">SGST + CGST</t>
  </si>
  <si>
    <t xml:space="preserve">Add / Less</t>
  </si>
  <si>
    <t xml:space="preserve">Per invoice</t>
  </si>
  <si>
    <t xml:space="preserve">Round off +/−</t>
  </si>
  <si>
    <t xml:space="preserve">GRAND TOTAL</t>
  </si>
  <si>
    <t xml:space="preserve">Rs. One Lac Twenty Four Thousand Two Hundred and Forty Nine only</t>
  </si>
  <si>
    <t xml:space="preserve">Total Qty</t>
  </si>
  <si>
    <t xml:space="preserve">Brand-wise breakdown</t>
  </si>
  <si>
    <t xml:space="preserve">Lines</t>
  </si>
  <si>
    <t xml:space="preserve">Gross (MRP×Qty)</t>
  </si>
  <si>
    <t xml:space="preserve">Gross printed</t>
  </si>
  <si>
    <t xml:space="preserve">Net (rate×Qty)</t>
  </si>
  <si>
    <t xml:space="preserve">Net printed</t>
  </si>
  <si>
    <t xml:space="preserve">Taxable value</t>
  </si>
  <si>
    <t xml:space="preserve">•  All 26 brand Gross and Net figures reconcile exactly to the sub-total lines printed under each brand block on the invoice.</t>
  </si>
  <si>
    <t xml:space="preserve">•  'Gross printed' and 'Net printed' are the Gross/Net figures typed under each brand block on the invoice. The adjacent calculated columns are formulas over the Line Items sheet.</t>
  </si>
  <si>
    <t xml:space="preserve">•  GST is 18% on every line, so the invoice's single GST class (SGST 9% + CGST 9%) applies throughout.</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</si>
</sst>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color rgb="FF555555"/>
      <name val="Arial"/>
      <family val="0"/>
      <charset val="1"/>
    </font>
    <font>
      <b val="true"/>
      <sz val="10"/>
      <color rgb="FFFFFFFF"/>
      <name val="Arial"/>
      <family val="0"/>
      <charset val="1"/>
    </font>
    <font>
      <sz val="10"/>
      <color rgb="FF0000FF"/>
      <name val="Arial"/>
      <family val="0"/>
      <charset val="1"/>
    </font>
    <font>
      <sz val="10"/>
      <name val="Arial"/>
      <family val="0"/>
      <charset val="1"/>
    </font>
    <font>
      <i val="true"/>
      <sz val="9"/>
      <color rgb="FF9C5700"/>
      <name val="Arial"/>
      <family val="0"/>
      <charset val="1"/>
    </font>
    <font>
      <b val="true"/>
      <sz val="10"/>
      <name val="Arial"/>
      <family val="0"/>
      <charset val="1"/>
    </font>
    <font>
      <sz val="9"/>
      <color rgb="FF555555"/>
      <name val="Arial"/>
      <family val="0"/>
      <charset val="1"/>
    </font>
    <font>
      <b val="true"/>
      <sz val="1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1F3864"/>
      </top>
      <bottom style="thin">
        <color rgb="FFBFBFBF"/>
      </bottom>
      <diagonal/>
    </border>
    <border diagonalUp="false" diagonalDown="false">
      <left style="thin">
        <color rgb="FFBFBFBF"/>
      </left>
      <right style="thin">
        <color rgb="FFBFBFBF"/>
      </right>
      <top style="medium">
        <color rgb="FF1F3864"/>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7" fillId="0" borderId="2"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6" fontId="7" fillId="0" borderId="2" xfId="0" applyFont="true" applyBorder="true" applyAlignment="false" applyProtection="false">
      <alignment horizontal="general" vertical="bottom" textRotation="0" wrapText="false" indent="0" shrinkToFit="false"/>
      <protection locked="true" hidden="false"/>
    </xf>
    <xf numFmtId="167" fontId="7" fillId="0" borderId="2" xfId="0" applyFont="true" applyBorder="true" applyAlignment="true" applyProtection="false">
      <alignment horizontal="center"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5" fontId="10" fillId="3" borderId="3" xfId="0" applyFont="true" applyBorder="true" applyAlignment="true" applyProtection="false">
      <alignment horizontal="center" vertical="bottom" textRotation="0" wrapText="false" indent="0" shrinkToFit="false"/>
      <protection locked="true" hidden="false"/>
    </xf>
    <xf numFmtId="166" fontId="10" fillId="3" borderId="3"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9C57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F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5"/>
    <col collapsed="false" customWidth="true" hidden="false" outlineLevel="0" max="3" min="3" style="0" width="18"/>
    <col collapsed="false" customWidth="true" hidden="false" outlineLevel="0" max="4" min="4" style="0" width="46"/>
    <col collapsed="false" customWidth="true" hidden="false" outlineLevel="0" max="5" min="5" style="0" width="11"/>
    <col collapsed="false" customWidth="true" hidden="false" outlineLevel="0" max="6" min="6" style="0" width="10"/>
    <col collapsed="false" customWidth="true" hidden="false" outlineLevel="0" max="8" min="7" style="0" width="8"/>
    <col collapsed="false" customWidth="true" hidden="false" outlineLevel="0" max="10" min="9" style="0" width="12"/>
    <col collapsed="false" customWidth="true" hidden="false" outlineLevel="0" max="11" min="11" style="0" width="7"/>
    <col collapsed="false" customWidth="true" hidden="false" outlineLevel="0" max="12" min="12" style="0" width="14"/>
    <col collapsed="false" customWidth="true" hidden="false" outlineLevel="0" max="13" min="13" style="0" width="8"/>
    <col collapsed="false" customWidth="true" hidden="false" outlineLevel="0" max="15" min="14" style="0" width="14"/>
    <col collapsed="false" customWidth="true" hidden="false" outlineLevel="0" max="16" min="16" style="0" width="9"/>
    <col collapsed="false" customWidth="true" hidden="false" outlineLevel="0" max="18" min="17" style="0" width="13"/>
    <col collapsed="false" customWidth="true" hidden="false" outlineLevel="0" max="19" min="19" style="0" width="34"/>
  </cols>
  <sheetData>
    <row r="1" customFormat="false" ht="16.15" hidden="false" customHeight="false" outlineLevel="0" collapsed="false">
      <c r="A1" s="1" t="s">
        <v>0</v>
      </c>
    </row>
    <row r="2" customFormat="false" ht="15" hidden="false" customHeight="false" outlineLevel="0" collapsed="false">
      <c r="A2" s="2" t="s">
        <v>1</v>
      </c>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row>
    <row r="5" customFormat="false" ht="15" hidden="false" customHeight="false" outlineLevel="0" collapsed="false">
      <c r="A5" s="4" t="n">
        <v>1</v>
      </c>
      <c r="B5" s="5" t="s">
        <v>21</v>
      </c>
      <c r="C5" s="5" t="s">
        <v>22</v>
      </c>
      <c r="D5" s="5" t="s">
        <v>23</v>
      </c>
      <c r="E5" s="6" t="s">
        <v>24</v>
      </c>
      <c r="F5" s="7" t="n">
        <v>37.5</v>
      </c>
      <c r="G5" s="8" t="n">
        <v>0.45</v>
      </c>
      <c r="H5" s="8" t="n">
        <v>0</v>
      </c>
      <c r="I5" s="7" t="n">
        <v>20.63</v>
      </c>
      <c r="J5" s="9" t="n">
        <f aca="false">F5*(1-G5)*(1-H5)</f>
        <v>20.625</v>
      </c>
      <c r="K5" s="4" t="n">
        <v>20</v>
      </c>
      <c r="L5" s="9" t="n">
        <f aca="false">J5*K5</f>
        <v>412.5</v>
      </c>
      <c r="M5" s="8" t="n">
        <v>0.18</v>
      </c>
      <c r="N5" s="7" t="n">
        <v>349.58</v>
      </c>
      <c r="O5" s="9" t="n">
        <f aca="false">ROUND(L5/(1+M5),2)</f>
        <v>349.58</v>
      </c>
      <c r="P5" s="9" t="n">
        <f aca="false">O5-N5</f>
        <v>0</v>
      </c>
      <c r="Q5" s="9" t="n">
        <f aca="false">ROUND(N5*M5,2)</f>
        <v>62.92</v>
      </c>
      <c r="R5" s="9" t="n">
        <f aca="false">N5+Q5</f>
        <v>412.5</v>
      </c>
      <c r="S5" s="10"/>
    </row>
    <row r="6" customFormat="false" ht="15" hidden="false" customHeight="false" outlineLevel="0" collapsed="false">
      <c r="A6" s="4" t="n">
        <v>2</v>
      </c>
      <c r="B6" s="5" t="s">
        <v>21</v>
      </c>
      <c r="C6" s="5" t="s">
        <v>25</v>
      </c>
      <c r="D6" s="5" t="s">
        <v>26</v>
      </c>
      <c r="E6" s="6" t="s">
        <v>24</v>
      </c>
      <c r="F6" s="7" t="n">
        <v>109</v>
      </c>
      <c r="G6" s="8" t="n">
        <v>0.45</v>
      </c>
      <c r="H6" s="8" t="n">
        <v>0</v>
      </c>
      <c r="I6" s="7" t="n">
        <v>59.95</v>
      </c>
      <c r="J6" s="9" t="n">
        <f aca="false">F6*(1-G6)*(1-H6)</f>
        <v>59.95</v>
      </c>
      <c r="K6" s="4" t="n">
        <v>20</v>
      </c>
      <c r="L6" s="9" t="n">
        <f aca="false">J6*K6</f>
        <v>1199</v>
      </c>
      <c r="M6" s="8" t="n">
        <v>0.18</v>
      </c>
      <c r="N6" s="7" t="n">
        <v>1016.1</v>
      </c>
      <c r="O6" s="9" t="n">
        <f aca="false">ROUND(L6/(1+M6),2)</f>
        <v>1016.1</v>
      </c>
      <c r="P6" s="9" t="n">
        <f aca="false">O6-N6</f>
        <v>0</v>
      </c>
      <c r="Q6" s="9" t="n">
        <f aca="false">ROUND(N6*M6,2)</f>
        <v>182.9</v>
      </c>
      <c r="R6" s="9" t="n">
        <f aca="false">N6+Q6</f>
        <v>1199</v>
      </c>
      <c r="S6" s="10"/>
    </row>
    <row r="7" customFormat="false" ht="15" hidden="false" customHeight="false" outlineLevel="0" collapsed="false">
      <c r="A7" s="4" t="n">
        <v>3</v>
      </c>
      <c r="B7" s="5" t="s">
        <v>21</v>
      </c>
      <c r="C7" s="5" t="s">
        <v>27</v>
      </c>
      <c r="D7" s="5" t="s">
        <v>28</v>
      </c>
      <c r="E7" s="6" t="s">
        <v>24</v>
      </c>
      <c r="F7" s="7" t="n">
        <v>3</v>
      </c>
      <c r="G7" s="8" t="n">
        <v>0.45</v>
      </c>
      <c r="H7" s="8" t="n">
        <v>0</v>
      </c>
      <c r="I7" s="7" t="n">
        <v>1.65</v>
      </c>
      <c r="J7" s="9" t="n">
        <f aca="false">F7*(1-G7)*(1-H7)</f>
        <v>1.65</v>
      </c>
      <c r="K7" s="4" t="n">
        <v>100</v>
      </c>
      <c r="L7" s="9" t="n">
        <f aca="false">J7*K7</f>
        <v>165</v>
      </c>
      <c r="M7" s="8" t="n">
        <v>0.18</v>
      </c>
      <c r="N7" s="7" t="n">
        <v>139.83</v>
      </c>
      <c r="O7" s="9" t="n">
        <f aca="false">ROUND(L7/(1+M7),2)</f>
        <v>139.83</v>
      </c>
      <c r="P7" s="9" t="n">
        <f aca="false">O7-N7</f>
        <v>0</v>
      </c>
      <c r="Q7" s="9" t="n">
        <f aca="false">ROUND(N7*M7,2)</f>
        <v>25.17</v>
      </c>
      <c r="R7" s="9" t="n">
        <f aca="false">N7+Q7</f>
        <v>165</v>
      </c>
      <c r="S7" s="10"/>
    </row>
    <row r="8" customFormat="false" ht="15" hidden="false" customHeight="false" outlineLevel="0" collapsed="false">
      <c r="A8" s="4" t="n">
        <v>4</v>
      </c>
      <c r="B8" s="5" t="s">
        <v>21</v>
      </c>
      <c r="C8" s="5" t="s">
        <v>29</v>
      </c>
      <c r="D8" s="5" t="s">
        <v>30</v>
      </c>
      <c r="E8" s="6" t="s">
        <v>24</v>
      </c>
      <c r="F8" s="7" t="n">
        <v>19</v>
      </c>
      <c r="G8" s="8" t="n">
        <v>0.45</v>
      </c>
      <c r="H8" s="8" t="n">
        <v>0</v>
      </c>
      <c r="I8" s="7" t="n">
        <v>10.45</v>
      </c>
      <c r="J8" s="9" t="n">
        <f aca="false">F8*(1-G8)*(1-H8)</f>
        <v>10.45</v>
      </c>
      <c r="K8" s="4" t="n">
        <v>25</v>
      </c>
      <c r="L8" s="9" t="n">
        <f aca="false">J8*K8</f>
        <v>261.25</v>
      </c>
      <c r="M8" s="8" t="n">
        <v>0.18</v>
      </c>
      <c r="N8" s="7" t="n">
        <v>221.4</v>
      </c>
      <c r="O8" s="9" t="n">
        <f aca="false">ROUND(L8/(1+M8),2)</f>
        <v>221.4</v>
      </c>
      <c r="P8" s="9" t="n">
        <f aca="false">O8-N8</f>
        <v>0</v>
      </c>
      <c r="Q8" s="9" t="n">
        <f aca="false">ROUND(N8*M8,2)</f>
        <v>39.85</v>
      </c>
      <c r="R8" s="9" t="n">
        <f aca="false">N8+Q8</f>
        <v>261.25</v>
      </c>
      <c r="S8" s="10"/>
    </row>
    <row r="9" customFormat="false" ht="15" hidden="false" customHeight="false" outlineLevel="0" collapsed="false">
      <c r="A9" s="11" t="n">
        <v>5</v>
      </c>
      <c r="B9" s="12" t="s">
        <v>31</v>
      </c>
      <c r="C9" s="12" t="s">
        <v>32</v>
      </c>
      <c r="D9" s="12" t="s">
        <v>33</v>
      </c>
      <c r="E9" s="13" t="s">
        <v>34</v>
      </c>
      <c r="F9" s="14" t="n">
        <v>68</v>
      </c>
      <c r="G9" s="15" t="n">
        <v>0</v>
      </c>
      <c r="H9" s="15" t="n">
        <v>0</v>
      </c>
      <c r="I9" s="14" t="n">
        <v>68</v>
      </c>
      <c r="J9" s="16" t="n">
        <f aca="false">F9*(1-G9)*(1-H9)</f>
        <v>68</v>
      </c>
      <c r="K9" s="11" t="n">
        <v>2</v>
      </c>
      <c r="L9" s="16" t="n">
        <f aca="false">J9*K9</f>
        <v>136</v>
      </c>
      <c r="M9" s="15" t="n">
        <v>0.18</v>
      </c>
      <c r="N9" s="14" t="n">
        <v>115.25</v>
      </c>
      <c r="O9" s="16" t="n">
        <f aca="false">ROUND(L9/(1+M9),2)</f>
        <v>115.25</v>
      </c>
      <c r="P9" s="16" t="n">
        <f aca="false">O9-N9</f>
        <v>0</v>
      </c>
      <c r="Q9" s="16" t="n">
        <f aca="false">ROUND(N9*M9,2)</f>
        <v>20.75</v>
      </c>
      <c r="R9" s="16" t="n">
        <f aca="false">N9+Q9</f>
        <v>136</v>
      </c>
      <c r="S9" s="17"/>
    </row>
    <row r="10" customFormat="false" ht="15" hidden="false" customHeight="false" outlineLevel="0" collapsed="false">
      <c r="A10" s="4" t="n">
        <v>6</v>
      </c>
      <c r="B10" s="5" t="s">
        <v>31</v>
      </c>
      <c r="C10" s="5" t="s">
        <v>35</v>
      </c>
      <c r="D10" s="5" t="s">
        <v>36</v>
      </c>
      <c r="E10" s="6" t="s">
        <v>34</v>
      </c>
      <c r="F10" s="7" t="n">
        <v>68</v>
      </c>
      <c r="G10" s="8" t="n">
        <v>0</v>
      </c>
      <c r="H10" s="8" t="n">
        <v>0</v>
      </c>
      <c r="I10" s="7" t="n">
        <v>68</v>
      </c>
      <c r="J10" s="9" t="n">
        <f aca="false">F10*(1-G10)*(1-H10)</f>
        <v>68</v>
      </c>
      <c r="K10" s="4" t="n">
        <v>25</v>
      </c>
      <c r="L10" s="9" t="n">
        <f aca="false">J10*K10</f>
        <v>1700</v>
      </c>
      <c r="M10" s="8" t="n">
        <v>0.18</v>
      </c>
      <c r="N10" s="7" t="n">
        <v>1440.68</v>
      </c>
      <c r="O10" s="9" t="n">
        <f aca="false">ROUND(L10/(1+M10),2)</f>
        <v>1440.68</v>
      </c>
      <c r="P10" s="9" t="n">
        <f aca="false">O10-N10</f>
        <v>0</v>
      </c>
      <c r="Q10" s="9" t="n">
        <f aca="false">ROUND(N10*M10,2)</f>
        <v>259.32</v>
      </c>
      <c r="R10" s="9" t="n">
        <f aca="false">N10+Q10</f>
        <v>1700</v>
      </c>
      <c r="S10" s="10"/>
    </row>
    <row r="11" customFormat="false" ht="15" hidden="false" customHeight="false" outlineLevel="0" collapsed="false">
      <c r="A11" s="4" t="n">
        <v>7</v>
      </c>
      <c r="B11" s="5" t="s">
        <v>31</v>
      </c>
      <c r="C11" s="5" t="s">
        <v>37</v>
      </c>
      <c r="D11" s="5" t="s">
        <v>38</v>
      </c>
      <c r="E11" s="6" t="s">
        <v>34</v>
      </c>
      <c r="F11" s="7" t="n">
        <v>68</v>
      </c>
      <c r="G11" s="8" t="n">
        <v>0</v>
      </c>
      <c r="H11" s="8" t="n">
        <v>0</v>
      </c>
      <c r="I11" s="7" t="n">
        <v>68</v>
      </c>
      <c r="J11" s="9" t="n">
        <f aca="false">F11*(1-G11)*(1-H11)</f>
        <v>68</v>
      </c>
      <c r="K11" s="4" t="n">
        <v>10</v>
      </c>
      <c r="L11" s="9" t="n">
        <f aca="false">J11*K11</f>
        <v>680</v>
      </c>
      <c r="M11" s="8" t="n">
        <v>0.18</v>
      </c>
      <c r="N11" s="7" t="n">
        <v>576.27</v>
      </c>
      <c r="O11" s="9" t="n">
        <f aca="false">ROUND(L11/(1+M11),2)</f>
        <v>576.27</v>
      </c>
      <c r="P11" s="9" t="n">
        <f aca="false">O11-N11</f>
        <v>0</v>
      </c>
      <c r="Q11" s="9" t="n">
        <f aca="false">ROUND(N11*M11,2)</f>
        <v>103.73</v>
      </c>
      <c r="R11" s="9" t="n">
        <f aca="false">N11+Q11</f>
        <v>680</v>
      </c>
      <c r="S11" s="10"/>
    </row>
    <row r="12" customFormat="false" ht="15" hidden="false" customHeight="false" outlineLevel="0" collapsed="false">
      <c r="A12" s="11" t="n">
        <v>8</v>
      </c>
      <c r="B12" s="12" t="s">
        <v>39</v>
      </c>
      <c r="C12" s="12" t="s">
        <v>40</v>
      </c>
      <c r="D12" s="12" t="s">
        <v>41</v>
      </c>
      <c r="E12" s="13" t="s">
        <v>34</v>
      </c>
      <c r="F12" s="14" t="n">
        <v>46</v>
      </c>
      <c r="G12" s="15" t="n">
        <v>0</v>
      </c>
      <c r="H12" s="15" t="n">
        <v>0</v>
      </c>
      <c r="I12" s="14" t="n">
        <v>46</v>
      </c>
      <c r="J12" s="16" t="n">
        <f aca="false">F12*(1-G12)*(1-H12)</f>
        <v>46</v>
      </c>
      <c r="K12" s="11" t="n">
        <v>20</v>
      </c>
      <c r="L12" s="16" t="n">
        <f aca="false">J12*K12</f>
        <v>920</v>
      </c>
      <c r="M12" s="15" t="n">
        <v>0.18</v>
      </c>
      <c r="N12" s="14" t="n">
        <v>779.66</v>
      </c>
      <c r="O12" s="16" t="n">
        <f aca="false">ROUND(L12/(1+M12),2)</f>
        <v>779.66</v>
      </c>
      <c r="P12" s="16" t="n">
        <f aca="false">O12-N12</f>
        <v>0</v>
      </c>
      <c r="Q12" s="16" t="n">
        <f aca="false">ROUND(N12*M12,2)</f>
        <v>140.34</v>
      </c>
      <c r="R12" s="16" t="n">
        <f aca="false">N12+Q12</f>
        <v>920</v>
      </c>
      <c r="S12" s="17"/>
    </row>
    <row r="13" customFormat="false" ht="15" hidden="false" customHeight="false" outlineLevel="0" collapsed="false">
      <c r="A13" s="11" t="n">
        <v>9</v>
      </c>
      <c r="B13" s="12" t="s">
        <v>42</v>
      </c>
      <c r="C13" s="12" t="s">
        <v>43</v>
      </c>
      <c r="D13" s="12" t="s">
        <v>44</v>
      </c>
      <c r="E13" s="13" t="s">
        <v>34</v>
      </c>
      <c r="F13" s="14" t="n">
        <v>1258</v>
      </c>
      <c r="G13" s="15" t="n">
        <v>0.35</v>
      </c>
      <c r="H13" s="15" t="n">
        <v>0</v>
      </c>
      <c r="I13" s="14" t="n">
        <v>817.7</v>
      </c>
      <c r="J13" s="16" t="n">
        <f aca="false">F13*(1-G13)*(1-H13)</f>
        <v>817.7</v>
      </c>
      <c r="K13" s="11" t="n">
        <v>2</v>
      </c>
      <c r="L13" s="16" t="n">
        <f aca="false">J13*K13</f>
        <v>1635.4</v>
      </c>
      <c r="M13" s="15" t="n">
        <v>0.18</v>
      </c>
      <c r="N13" s="14" t="n">
        <v>1385.93</v>
      </c>
      <c r="O13" s="16" t="n">
        <f aca="false">ROUND(L13/(1+M13),2)</f>
        <v>1385.93</v>
      </c>
      <c r="P13" s="16" t="n">
        <f aca="false">O13-N13</f>
        <v>0</v>
      </c>
      <c r="Q13" s="16" t="n">
        <f aca="false">ROUND(N13*M13,2)</f>
        <v>249.47</v>
      </c>
      <c r="R13" s="16" t="n">
        <f aca="false">N13+Q13</f>
        <v>1635.4</v>
      </c>
      <c r="S13" s="17"/>
    </row>
    <row r="14" customFormat="false" ht="15" hidden="false" customHeight="false" outlineLevel="0" collapsed="false">
      <c r="A14" s="11" t="n">
        <v>10</v>
      </c>
      <c r="B14" s="12" t="s">
        <v>45</v>
      </c>
      <c r="C14" s="12" t="s">
        <v>46</v>
      </c>
      <c r="D14" s="12" t="s">
        <v>47</v>
      </c>
      <c r="E14" s="13" t="s">
        <v>48</v>
      </c>
      <c r="F14" s="14" t="n">
        <v>78</v>
      </c>
      <c r="G14" s="15" t="n">
        <v>0</v>
      </c>
      <c r="H14" s="15" t="n">
        <v>0</v>
      </c>
      <c r="I14" s="14" t="n">
        <v>78</v>
      </c>
      <c r="J14" s="16" t="n">
        <f aca="false">F14*(1-G14)*(1-H14)</f>
        <v>78</v>
      </c>
      <c r="K14" s="11" t="n">
        <v>30</v>
      </c>
      <c r="L14" s="16" t="n">
        <f aca="false">J14*K14</f>
        <v>2340</v>
      </c>
      <c r="M14" s="15" t="n">
        <v>0.18</v>
      </c>
      <c r="N14" s="14" t="n">
        <v>1983.05</v>
      </c>
      <c r="O14" s="16" t="n">
        <f aca="false">ROUND(L14/(1+M14),2)</f>
        <v>1983.05</v>
      </c>
      <c r="P14" s="16" t="n">
        <f aca="false">O14-N14</f>
        <v>0</v>
      </c>
      <c r="Q14" s="16" t="n">
        <f aca="false">ROUND(N14*M14,2)</f>
        <v>356.95</v>
      </c>
      <c r="R14" s="16" t="n">
        <f aca="false">N14+Q14</f>
        <v>2340</v>
      </c>
      <c r="S14" s="17"/>
    </row>
    <row r="15" customFormat="false" ht="15" hidden="false" customHeight="false" outlineLevel="0" collapsed="false">
      <c r="A15" s="4" t="n">
        <v>11</v>
      </c>
      <c r="B15" s="5" t="s">
        <v>45</v>
      </c>
      <c r="C15" s="5" t="s">
        <v>49</v>
      </c>
      <c r="D15" s="5" t="s">
        <v>50</v>
      </c>
      <c r="E15" s="6" t="s">
        <v>48</v>
      </c>
      <c r="F15" s="7" t="n">
        <v>68</v>
      </c>
      <c r="G15" s="8" t="n">
        <v>0</v>
      </c>
      <c r="H15" s="8" t="n">
        <v>0</v>
      </c>
      <c r="I15" s="7" t="n">
        <v>68</v>
      </c>
      <c r="J15" s="9" t="n">
        <f aca="false">F15*(1-G15)*(1-H15)</f>
        <v>68</v>
      </c>
      <c r="K15" s="4" t="n">
        <v>30</v>
      </c>
      <c r="L15" s="9" t="n">
        <f aca="false">J15*K15</f>
        <v>2040</v>
      </c>
      <c r="M15" s="8" t="n">
        <v>0.18</v>
      </c>
      <c r="N15" s="7" t="n">
        <v>1728.81</v>
      </c>
      <c r="O15" s="9" t="n">
        <f aca="false">ROUND(L15/(1+M15),2)</f>
        <v>1728.81</v>
      </c>
      <c r="P15" s="9" t="n">
        <f aca="false">O15-N15</f>
        <v>0</v>
      </c>
      <c r="Q15" s="9" t="n">
        <f aca="false">ROUND(N15*M15,2)</f>
        <v>311.19</v>
      </c>
      <c r="R15" s="9" t="n">
        <f aca="false">N15+Q15</f>
        <v>2040</v>
      </c>
      <c r="S15" s="10"/>
    </row>
    <row r="16" customFormat="false" ht="15" hidden="false" customHeight="false" outlineLevel="0" collapsed="false">
      <c r="A16" s="11" t="n">
        <v>12</v>
      </c>
      <c r="B16" s="12" t="s">
        <v>51</v>
      </c>
      <c r="C16" s="12" t="s">
        <v>52</v>
      </c>
      <c r="D16" s="12" t="s">
        <v>53</v>
      </c>
      <c r="E16" s="13" t="s">
        <v>54</v>
      </c>
      <c r="F16" s="14" t="n">
        <v>54</v>
      </c>
      <c r="G16" s="15" t="n">
        <v>0.42</v>
      </c>
      <c r="H16" s="15" t="n">
        <v>0</v>
      </c>
      <c r="I16" s="14" t="n">
        <v>31.32</v>
      </c>
      <c r="J16" s="16" t="n">
        <f aca="false">F16*(1-G16)*(1-H16)</f>
        <v>31.32</v>
      </c>
      <c r="K16" s="11" t="n">
        <v>60</v>
      </c>
      <c r="L16" s="16" t="n">
        <f aca="false">J16*K16</f>
        <v>1879.2</v>
      </c>
      <c r="M16" s="15" t="n">
        <v>0.18</v>
      </c>
      <c r="N16" s="14" t="n">
        <v>1592.54</v>
      </c>
      <c r="O16" s="16" t="n">
        <f aca="false">ROUND(L16/(1+M16),2)</f>
        <v>1592.54</v>
      </c>
      <c r="P16" s="16" t="n">
        <f aca="false">O16-N16</f>
        <v>0</v>
      </c>
      <c r="Q16" s="16" t="n">
        <f aca="false">ROUND(N16*M16,2)</f>
        <v>286.66</v>
      </c>
      <c r="R16" s="16" t="n">
        <f aca="false">N16+Q16</f>
        <v>1879.2</v>
      </c>
      <c r="S16" s="17"/>
    </row>
    <row r="17" customFormat="false" ht="15" hidden="false" customHeight="false" outlineLevel="0" collapsed="false">
      <c r="A17" s="11" t="n">
        <v>13</v>
      </c>
      <c r="B17" s="12" t="s">
        <v>55</v>
      </c>
      <c r="C17" s="12" t="s">
        <v>56</v>
      </c>
      <c r="D17" s="12" t="s">
        <v>57</v>
      </c>
      <c r="E17" s="13" t="s">
        <v>34</v>
      </c>
      <c r="F17" s="14" t="n">
        <v>88</v>
      </c>
      <c r="G17" s="15" t="n">
        <v>0.4</v>
      </c>
      <c r="H17" s="15" t="n">
        <v>0</v>
      </c>
      <c r="I17" s="14" t="n">
        <v>52.8</v>
      </c>
      <c r="J17" s="16" t="n">
        <f aca="false">F17*(1-G17)*(1-H17)</f>
        <v>52.8</v>
      </c>
      <c r="K17" s="11" t="n">
        <v>5</v>
      </c>
      <c r="L17" s="16" t="n">
        <f aca="false">J17*K17</f>
        <v>264</v>
      </c>
      <c r="M17" s="15" t="n">
        <v>0.18</v>
      </c>
      <c r="N17" s="14" t="n">
        <v>223.73</v>
      </c>
      <c r="O17" s="16" t="n">
        <f aca="false">ROUND(L17/(1+M17),2)</f>
        <v>223.73</v>
      </c>
      <c r="P17" s="16" t="n">
        <f aca="false">O17-N17</f>
        <v>0</v>
      </c>
      <c r="Q17" s="16" t="n">
        <f aca="false">ROUND(N17*M17,2)</f>
        <v>40.27</v>
      </c>
      <c r="R17" s="16" t="n">
        <f aca="false">N17+Q17</f>
        <v>264</v>
      </c>
      <c r="S17" s="17"/>
    </row>
    <row r="18" customFormat="false" ht="15" hidden="false" customHeight="false" outlineLevel="0" collapsed="false">
      <c r="A18" s="4" t="n">
        <v>14</v>
      </c>
      <c r="B18" s="5" t="s">
        <v>55</v>
      </c>
      <c r="C18" s="5" t="s">
        <v>58</v>
      </c>
      <c r="D18" s="5" t="s">
        <v>59</v>
      </c>
      <c r="E18" s="6" t="s">
        <v>34</v>
      </c>
      <c r="F18" s="7" t="n">
        <v>106</v>
      </c>
      <c r="G18" s="8" t="n">
        <v>0.4</v>
      </c>
      <c r="H18" s="8" t="n">
        <v>0</v>
      </c>
      <c r="I18" s="7" t="n">
        <v>63.6</v>
      </c>
      <c r="J18" s="9" t="n">
        <f aca="false">F18*(1-G18)*(1-H18)</f>
        <v>63.6</v>
      </c>
      <c r="K18" s="4" t="n">
        <v>20</v>
      </c>
      <c r="L18" s="9" t="n">
        <f aca="false">J18*K18</f>
        <v>1272</v>
      </c>
      <c r="M18" s="8" t="n">
        <v>0.18</v>
      </c>
      <c r="N18" s="7" t="n">
        <v>1077.97</v>
      </c>
      <c r="O18" s="9" t="n">
        <f aca="false">ROUND(L18/(1+M18),2)</f>
        <v>1077.97</v>
      </c>
      <c r="P18" s="9" t="n">
        <f aca="false">O18-N18</f>
        <v>0</v>
      </c>
      <c r="Q18" s="9" t="n">
        <f aca="false">ROUND(N18*M18,2)</f>
        <v>194.03</v>
      </c>
      <c r="R18" s="9" t="n">
        <f aca="false">N18+Q18</f>
        <v>1272</v>
      </c>
      <c r="S18" s="10"/>
    </row>
    <row r="19" customFormat="false" ht="15" hidden="false" customHeight="false" outlineLevel="0" collapsed="false">
      <c r="A19" s="11" t="n">
        <v>15</v>
      </c>
      <c r="B19" s="12" t="s">
        <v>60</v>
      </c>
      <c r="C19" s="12" t="s">
        <v>61</v>
      </c>
      <c r="D19" s="12" t="s">
        <v>62</v>
      </c>
      <c r="E19" s="13" t="s">
        <v>48</v>
      </c>
      <c r="F19" s="14" t="n">
        <v>583</v>
      </c>
      <c r="G19" s="15" t="n">
        <v>0.35</v>
      </c>
      <c r="H19" s="15" t="n">
        <v>0</v>
      </c>
      <c r="I19" s="14" t="n">
        <v>378.95</v>
      </c>
      <c r="J19" s="16" t="n">
        <f aca="false">F19*(1-G19)*(1-H19)</f>
        <v>378.95</v>
      </c>
      <c r="K19" s="11" t="n">
        <v>1</v>
      </c>
      <c r="L19" s="16" t="n">
        <f aca="false">J19*K19</f>
        <v>378.95</v>
      </c>
      <c r="M19" s="15" t="n">
        <v>0.18</v>
      </c>
      <c r="N19" s="14" t="n">
        <v>321.14</v>
      </c>
      <c r="O19" s="16" t="n">
        <f aca="false">ROUND(L19/(1+M19),2)</f>
        <v>321.14</v>
      </c>
      <c r="P19" s="16" t="n">
        <f aca="false">O19-N19</f>
        <v>0</v>
      </c>
      <c r="Q19" s="16" t="n">
        <f aca="false">ROUND(N19*M19,2)</f>
        <v>57.81</v>
      </c>
      <c r="R19" s="16" t="n">
        <f aca="false">N19+Q19</f>
        <v>378.95</v>
      </c>
      <c r="S19" s="17"/>
    </row>
    <row r="20" customFormat="false" ht="15" hidden="false" customHeight="false" outlineLevel="0" collapsed="false">
      <c r="A20" s="4" t="n">
        <v>16</v>
      </c>
      <c r="B20" s="5" t="s">
        <v>60</v>
      </c>
      <c r="C20" s="5" t="s">
        <v>63</v>
      </c>
      <c r="D20" s="5" t="s">
        <v>64</v>
      </c>
      <c r="E20" s="6" t="s">
        <v>48</v>
      </c>
      <c r="F20" s="7" t="n">
        <v>118</v>
      </c>
      <c r="G20" s="8" t="n">
        <v>0.35</v>
      </c>
      <c r="H20" s="8" t="n">
        <v>0</v>
      </c>
      <c r="I20" s="7" t="n">
        <v>76.7</v>
      </c>
      <c r="J20" s="9" t="n">
        <f aca="false">F20*(1-G20)*(1-H20)</f>
        <v>76.7</v>
      </c>
      <c r="K20" s="4" t="n">
        <v>6</v>
      </c>
      <c r="L20" s="9" t="n">
        <f aca="false">J20*K20</f>
        <v>460.2</v>
      </c>
      <c r="M20" s="8" t="n">
        <v>0.18</v>
      </c>
      <c r="N20" s="7" t="n">
        <v>390</v>
      </c>
      <c r="O20" s="9" t="n">
        <f aca="false">ROUND(L20/(1+M20),2)</f>
        <v>390</v>
      </c>
      <c r="P20" s="9" t="n">
        <f aca="false">O20-N20</f>
        <v>0</v>
      </c>
      <c r="Q20" s="9" t="n">
        <f aca="false">ROUND(N20*M20,2)</f>
        <v>70.2</v>
      </c>
      <c r="R20" s="9" t="n">
        <f aca="false">N20+Q20</f>
        <v>460.2</v>
      </c>
      <c r="S20" s="10"/>
    </row>
    <row r="21" customFormat="false" ht="15" hidden="false" customHeight="false" outlineLevel="0" collapsed="false">
      <c r="A21" s="4" t="n">
        <v>17</v>
      </c>
      <c r="B21" s="5" t="s">
        <v>60</v>
      </c>
      <c r="C21" s="5" t="s">
        <v>65</v>
      </c>
      <c r="D21" s="5" t="s">
        <v>66</v>
      </c>
      <c r="E21" s="6" t="s">
        <v>48</v>
      </c>
      <c r="F21" s="7" t="n">
        <v>118</v>
      </c>
      <c r="G21" s="8" t="n">
        <v>0.35</v>
      </c>
      <c r="H21" s="8" t="n">
        <v>0</v>
      </c>
      <c r="I21" s="7" t="n">
        <v>76.7</v>
      </c>
      <c r="J21" s="9" t="n">
        <f aca="false">F21*(1-G21)*(1-H21)</f>
        <v>76.7</v>
      </c>
      <c r="K21" s="4" t="n">
        <v>6</v>
      </c>
      <c r="L21" s="9" t="n">
        <f aca="false">J21*K21</f>
        <v>460.2</v>
      </c>
      <c r="M21" s="8" t="n">
        <v>0.18</v>
      </c>
      <c r="N21" s="7" t="n">
        <v>390</v>
      </c>
      <c r="O21" s="9" t="n">
        <f aca="false">ROUND(L21/(1+M21),2)</f>
        <v>390</v>
      </c>
      <c r="P21" s="9" t="n">
        <f aca="false">O21-N21</f>
        <v>0</v>
      </c>
      <c r="Q21" s="9" t="n">
        <f aca="false">ROUND(N21*M21,2)</f>
        <v>70.2</v>
      </c>
      <c r="R21" s="9" t="n">
        <f aca="false">N21+Q21</f>
        <v>460.2</v>
      </c>
      <c r="S21" s="10"/>
    </row>
    <row r="22" customFormat="false" ht="22.35" hidden="false" customHeight="false" outlineLevel="0" collapsed="false">
      <c r="A22" s="4" t="n">
        <v>18</v>
      </c>
      <c r="B22" s="5" t="s">
        <v>60</v>
      </c>
      <c r="C22" s="5" t="s">
        <v>67</v>
      </c>
      <c r="D22" s="5" t="s">
        <v>68</v>
      </c>
      <c r="E22" s="6" t="s">
        <v>48</v>
      </c>
      <c r="F22" s="7" t="n">
        <v>300</v>
      </c>
      <c r="G22" s="8" t="n">
        <v>0.35</v>
      </c>
      <c r="H22" s="8" t="n">
        <v>0</v>
      </c>
      <c r="I22" s="7" t="n">
        <v>195</v>
      </c>
      <c r="J22" s="9" t="n">
        <f aca="false">F22*(1-G22)*(1-H22)</f>
        <v>195</v>
      </c>
      <c r="K22" s="4" t="n">
        <v>10</v>
      </c>
      <c r="L22" s="9" t="n">
        <f aca="false">J22*K22</f>
        <v>1950</v>
      </c>
      <c r="M22" s="8" t="n">
        <v>0.18</v>
      </c>
      <c r="N22" s="7" t="n">
        <v>1652.54</v>
      </c>
      <c r="O22" s="9" t="n">
        <f aca="false">ROUND(L22/(1+M22),2)</f>
        <v>1652.54</v>
      </c>
      <c r="P22" s="9" t="n">
        <f aca="false">O22-N22</f>
        <v>0</v>
      </c>
      <c r="Q22" s="9" t="n">
        <f aca="false">ROUND(N22*M22,2)</f>
        <v>297.46</v>
      </c>
      <c r="R22" s="9" t="n">
        <f aca="false">N22+Q22</f>
        <v>1950</v>
      </c>
      <c r="S22" s="10" t="s">
        <v>69</v>
      </c>
    </row>
    <row r="23" customFormat="false" ht="22.35" hidden="false" customHeight="false" outlineLevel="0" collapsed="false">
      <c r="A23" s="4" t="n">
        <v>19</v>
      </c>
      <c r="B23" s="5" t="s">
        <v>60</v>
      </c>
      <c r="C23" s="5" t="s">
        <v>67</v>
      </c>
      <c r="D23" s="5" t="s">
        <v>68</v>
      </c>
      <c r="E23" s="6" t="s">
        <v>48</v>
      </c>
      <c r="F23" s="7" t="n">
        <v>312</v>
      </c>
      <c r="G23" s="8" t="n">
        <v>0.35</v>
      </c>
      <c r="H23" s="8" t="n">
        <v>0</v>
      </c>
      <c r="I23" s="7" t="n">
        <v>202.8</v>
      </c>
      <c r="J23" s="9" t="n">
        <f aca="false">F23*(1-G23)*(1-H23)</f>
        <v>202.8</v>
      </c>
      <c r="K23" s="4" t="n">
        <v>10</v>
      </c>
      <c r="L23" s="9" t="n">
        <f aca="false">J23*K23</f>
        <v>2028</v>
      </c>
      <c r="M23" s="8" t="n">
        <v>0.18</v>
      </c>
      <c r="N23" s="7" t="n">
        <v>1718.64</v>
      </c>
      <c r="O23" s="9" t="n">
        <f aca="false">ROUND(L23/(1+M23),2)</f>
        <v>1718.64</v>
      </c>
      <c r="P23" s="9" t="n">
        <f aca="false">O23-N23</f>
        <v>0</v>
      </c>
      <c r="Q23" s="9" t="n">
        <f aca="false">ROUND(N23*M23,2)</f>
        <v>309.36</v>
      </c>
      <c r="R23" s="9" t="n">
        <f aca="false">N23+Q23</f>
        <v>2028</v>
      </c>
      <c r="S23" s="10" t="s">
        <v>70</v>
      </c>
    </row>
    <row r="24" customFormat="false" ht="15" hidden="false" customHeight="false" outlineLevel="0" collapsed="false">
      <c r="A24" s="4" t="n">
        <v>20</v>
      </c>
      <c r="B24" s="5" t="s">
        <v>60</v>
      </c>
      <c r="C24" s="5" t="s">
        <v>71</v>
      </c>
      <c r="D24" s="5" t="s">
        <v>72</v>
      </c>
      <c r="E24" s="6" t="s">
        <v>48</v>
      </c>
      <c r="F24" s="7" t="n">
        <v>159</v>
      </c>
      <c r="G24" s="8" t="n">
        <v>0.35</v>
      </c>
      <c r="H24" s="8" t="n">
        <v>0</v>
      </c>
      <c r="I24" s="7" t="n">
        <v>103.35</v>
      </c>
      <c r="J24" s="9" t="n">
        <f aca="false">F24*(1-G24)*(1-H24)</f>
        <v>103.35</v>
      </c>
      <c r="K24" s="4" t="n">
        <v>2</v>
      </c>
      <c r="L24" s="9" t="n">
        <f aca="false">J24*K24</f>
        <v>206.7</v>
      </c>
      <c r="M24" s="8" t="n">
        <v>0.18</v>
      </c>
      <c r="N24" s="7" t="n">
        <v>175.17</v>
      </c>
      <c r="O24" s="9" t="n">
        <f aca="false">ROUND(L24/(1+M24),2)</f>
        <v>175.17</v>
      </c>
      <c r="P24" s="9" t="n">
        <f aca="false">O24-N24</f>
        <v>0</v>
      </c>
      <c r="Q24" s="9" t="n">
        <f aca="false">ROUND(N24*M24,2)</f>
        <v>31.53</v>
      </c>
      <c r="R24" s="9" t="n">
        <f aca="false">N24+Q24</f>
        <v>206.7</v>
      </c>
      <c r="S24" s="10"/>
    </row>
    <row r="25" customFormat="false" ht="15" hidden="false" customHeight="false" outlineLevel="0" collapsed="false">
      <c r="A25" s="4" t="n">
        <v>21</v>
      </c>
      <c r="B25" s="5" t="s">
        <v>60</v>
      </c>
      <c r="C25" s="5" t="s">
        <v>73</v>
      </c>
      <c r="D25" s="5" t="s">
        <v>74</v>
      </c>
      <c r="E25" s="6" t="s">
        <v>48</v>
      </c>
      <c r="F25" s="7" t="n">
        <v>159</v>
      </c>
      <c r="G25" s="8" t="n">
        <v>0.35</v>
      </c>
      <c r="H25" s="8" t="n">
        <v>0</v>
      </c>
      <c r="I25" s="7" t="n">
        <v>103.35</v>
      </c>
      <c r="J25" s="9" t="n">
        <f aca="false">F25*(1-G25)*(1-H25)</f>
        <v>103.35</v>
      </c>
      <c r="K25" s="4" t="n">
        <v>2</v>
      </c>
      <c r="L25" s="9" t="n">
        <f aca="false">J25*K25</f>
        <v>206.7</v>
      </c>
      <c r="M25" s="8" t="n">
        <v>0.18</v>
      </c>
      <c r="N25" s="7" t="n">
        <v>175.17</v>
      </c>
      <c r="O25" s="9" t="n">
        <f aca="false">ROUND(L25/(1+M25),2)</f>
        <v>175.17</v>
      </c>
      <c r="P25" s="9" t="n">
        <f aca="false">O25-N25</f>
        <v>0</v>
      </c>
      <c r="Q25" s="9" t="n">
        <f aca="false">ROUND(N25*M25,2)</f>
        <v>31.53</v>
      </c>
      <c r="R25" s="9" t="n">
        <f aca="false">N25+Q25</f>
        <v>206.7</v>
      </c>
      <c r="S25" s="10"/>
    </row>
    <row r="26" customFormat="false" ht="15" hidden="false" customHeight="false" outlineLevel="0" collapsed="false">
      <c r="A26" s="11" t="n">
        <v>22</v>
      </c>
      <c r="B26" s="12" t="s">
        <v>75</v>
      </c>
      <c r="C26" s="12" t="s">
        <v>76</v>
      </c>
      <c r="D26" s="12" t="s">
        <v>77</v>
      </c>
      <c r="E26" s="13" t="s">
        <v>34</v>
      </c>
      <c r="F26" s="14" t="n">
        <v>58</v>
      </c>
      <c r="G26" s="15" t="n">
        <v>0</v>
      </c>
      <c r="H26" s="15" t="n">
        <v>0</v>
      </c>
      <c r="I26" s="14" t="n">
        <v>58</v>
      </c>
      <c r="J26" s="16" t="n">
        <f aca="false">F26*(1-G26)*(1-H26)</f>
        <v>58</v>
      </c>
      <c r="K26" s="11" t="n">
        <v>50</v>
      </c>
      <c r="L26" s="16" t="n">
        <f aca="false">J26*K26</f>
        <v>2900</v>
      </c>
      <c r="M26" s="15" t="n">
        <v>0.18</v>
      </c>
      <c r="N26" s="14" t="n">
        <v>2457.63</v>
      </c>
      <c r="O26" s="16" t="n">
        <f aca="false">ROUND(L26/(1+M26),2)</f>
        <v>2457.63</v>
      </c>
      <c r="P26" s="16" t="n">
        <f aca="false">O26-N26</f>
        <v>0</v>
      </c>
      <c r="Q26" s="16" t="n">
        <f aca="false">ROUND(N26*M26,2)</f>
        <v>442.37</v>
      </c>
      <c r="R26" s="16" t="n">
        <f aca="false">N26+Q26</f>
        <v>2900</v>
      </c>
      <c r="S26" s="17"/>
    </row>
    <row r="27" customFormat="false" ht="15" hidden="false" customHeight="false" outlineLevel="0" collapsed="false">
      <c r="A27" s="11" t="n">
        <v>23</v>
      </c>
      <c r="B27" s="12" t="s">
        <v>78</v>
      </c>
      <c r="C27" s="12" t="s">
        <v>79</v>
      </c>
      <c r="D27" s="12" t="s">
        <v>80</v>
      </c>
      <c r="E27" s="13" t="s">
        <v>81</v>
      </c>
      <c r="F27" s="14" t="n">
        <v>41</v>
      </c>
      <c r="G27" s="15" t="n">
        <v>0.28</v>
      </c>
      <c r="H27" s="15" t="n">
        <v>0</v>
      </c>
      <c r="I27" s="14" t="n">
        <v>29.52</v>
      </c>
      <c r="J27" s="16" t="n">
        <f aca="false">F27*(1-G27)*(1-H27)</f>
        <v>29.52</v>
      </c>
      <c r="K27" s="11" t="n">
        <v>10</v>
      </c>
      <c r="L27" s="16" t="n">
        <f aca="false">J27*K27</f>
        <v>295.2</v>
      </c>
      <c r="M27" s="15" t="n">
        <v>0.18</v>
      </c>
      <c r="N27" s="14" t="n">
        <v>250.17</v>
      </c>
      <c r="O27" s="16" t="n">
        <f aca="false">ROUND(L27/(1+M27),2)</f>
        <v>250.17</v>
      </c>
      <c r="P27" s="16" t="n">
        <f aca="false">O27-N27</f>
        <v>0</v>
      </c>
      <c r="Q27" s="16" t="n">
        <f aca="false">ROUND(N27*M27,2)</f>
        <v>45.03</v>
      </c>
      <c r="R27" s="16" t="n">
        <f aca="false">N27+Q27</f>
        <v>295.2</v>
      </c>
      <c r="S27" s="17"/>
    </row>
    <row r="28" customFormat="false" ht="15" hidden="false" customHeight="false" outlineLevel="0" collapsed="false">
      <c r="A28" s="4" t="n">
        <v>24</v>
      </c>
      <c r="B28" s="5" t="s">
        <v>78</v>
      </c>
      <c r="C28" s="5" t="s">
        <v>82</v>
      </c>
      <c r="D28" s="5" t="s">
        <v>83</v>
      </c>
      <c r="E28" s="6" t="s">
        <v>81</v>
      </c>
      <c r="F28" s="7" t="n">
        <v>370</v>
      </c>
      <c r="G28" s="8" t="n">
        <v>0.28</v>
      </c>
      <c r="H28" s="8" t="n">
        <v>0</v>
      </c>
      <c r="I28" s="7" t="n">
        <v>266.4</v>
      </c>
      <c r="J28" s="9" t="n">
        <f aca="false">F28*(1-G28)*(1-H28)</f>
        <v>266.4</v>
      </c>
      <c r="K28" s="4" t="n">
        <v>2</v>
      </c>
      <c r="L28" s="9" t="n">
        <f aca="false">J28*K28</f>
        <v>532.8</v>
      </c>
      <c r="M28" s="8" t="n">
        <v>0.18</v>
      </c>
      <c r="N28" s="7" t="n">
        <v>451.53</v>
      </c>
      <c r="O28" s="9" t="n">
        <f aca="false">ROUND(L28/(1+M28),2)</f>
        <v>451.53</v>
      </c>
      <c r="P28" s="9" t="n">
        <f aca="false">O28-N28</f>
        <v>0</v>
      </c>
      <c r="Q28" s="9" t="n">
        <f aca="false">ROUND(N28*M28,2)</f>
        <v>81.28</v>
      </c>
      <c r="R28" s="9" t="n">
        <f aca="false">N28+Q28</f>
        <v>532.81</v>
      </c>
      <c r="S28" s="10"/>
    </row>
    <row r="29" customFormat="false" ht="15" hidden="false" customHeight="false" outlineLevel="0" collapsed="false">
      <c r="A29" s="4" t="n">
        <v>25</v>
      </c>
      <c r="B29" s="5" t="s">
        <v>78</v>
      </c>
      <c r="C29" s="5" t="s">
        <v>84</v>
      </c>
      <c r="D29" s="5" t="s">
        <v>85</v>
      </c>
      <c r="E29" s="6" t="s">
        <v>81</v>
      </c>
      <c r="F29" s="7" t="n">
        <v>468</v>
      </c>
      <c r="G29" s="8" t="n">
        <v>0.28</v>
      </c>
      <c r="H29" s="8" t="n">
        <v>0</v>
      </c>
      <c r="I29" s="7" t="n">
        <v>336.96</v>
      </c>
      <c r="J29" s="9" t="n">
        <f aca="false">F29*(1-G29)*(1-H29)</f>
        <v>336.96</v>
      </c>
      <c r="K29" s="4" t="n">
        <v>3</v>
      </c>
      <c r="L29" s="9" t="n">
        <f aca="false">J29*K29</f>
        <v>1010.88</v>
      </c>
      <c r="M29" s="8" t="n">
        <v>0.18</v>
      </c>
      <c r="N29" s="7" t="n">
        <v>856.68</v>
      </c>
      <c r="O29" s="9" t="n">
        <f aca="false">ROUND(L29/(1+M29),2)</f>
        <v>856.68</v>
      </c>
      <c r="P29" s="9" t="n">
        <f aca="false">O29-N29</f>
        <v>0</v>
      </c>
      <c r="Q29" s="9" t="n">
        <f aca="false">ROUND(N29*M29,2)</f>
        <v>154.2</v>
      </c>
      <c r="R29" s="9" t="n">
        <f aca="false">N29+Q29</f>
        <v>1010.88</v>
      </c>
      <c r="S29" s="10"/>
    </row>
    <row r="30" customFormat="false" ht="15" hidden="false" customHeight="false" outlineLevel="0" collapsed="false">
      <c r="A30" s="4" t="n">
        <v>26</v>
      </c>
      <c r="B30" s="5" t="s">
        <v>78</v>
      </c>
      <c r="C30" s="5" t="s">
        <v>86</v>
      </c>
      <c r="D30" s="5" t="s">
        <v>87</v>
      </c>
      <c r="E30" s="6" t="s">
        <v>81</v>
      </c>
      <c r="F30" s="7" t="n">
        <v>63</v>
      </c>
      <c r="G30" s="8" t="n">
        <v>0.28</v>
      </c>
      <c r="H30" s="8" t="n">
        <v>0</v>
      </c>
      <c r="I30" s="7" t="n">
        <v>45.36</v>
      </c>
      <c r="J30" s="9" t="n">
        <f aca="false">F30*(1-G30)*(1-H30)</f>
        <v>45.36</v>
      </c>
      <c r="K30" s="4" t="n">
        <v>10</v>
      </c>
      <c r="L30" s="9" t="n">
        <f aca="false">J30*K30</f>
        <v>453.6</v>
      </c>
      <c r="M30" s="8" t="n">
        <v>0.18</v>
      </c>
      <c r="N30" s="7" t="n">
        <v>384.41</v>
      </c>
      <c r="O30" s="9" t="n">
        <f aca="false">ROUND(L30/(1+M30),2)</f>
        <v>384.41</v>
      </c>
      <c r="P30" s="9" t="n">
        <f aca="false">O30-N30</f>
        <v>0</v>
      </c>
      <c r="Q30" s="9" t="n">
        <f aca="false">ROUND(N30*M30,2)</f>
        <v>69.19</v>
      </c>
      <c r="R30" s="9" t="n">
        <f aca="false">N30+Q30</f>
        <v>453.6</v>
      </c>
      <c r="S30" s="10"/>
    </row>
    <row r="31" customFormat="false" ht="15" hidden="false" customHeight="false" outlineLevel="0" collapsed="false">
      <c r="A31" s="11" t="n">
        <v>27</v>
      </c>
      <c r="B31" s="12" t="s">
        <v>88</v>
      </c>
      <c r="C31" s="12" t="s">
        <v>89</v>
      </c>
      <c r="D31" s="12" t="s">
        <v>90</v>
      </c>
      <c r="E31" s="13" t="s">
        <v>34</v>
      </c>
      <c r="F31" s="14" t="n">
        <v>373</v>
      </c>
      <c r="G31" s="15" t="n">
        <v>0.32</v>
      </c>
      <c r="H31" s="15" t="n">
        <v>0</v>
      </c>
      <c r="I31" s="14" t="n">
        <v>253.64</v>
      </c>
      <c r="J31" s="16" t="n">
        <f aca="false">F31*(1-G31)*(1-H31)</f>
        <v>253.64</v>
      </c>
      <c r="K31" s="11" t="n">
        <v>3</v>
      </c>
      <c r="L31" s="16" t="n">
        <f aca="false">J31*K31</f>
        <v>760.92</v>
      </c>
      <c r="M31" s="15" t="n">
        <v>0.18</v>
      </c>
      <c r="N31" s="14" t="n">
        <v>644.85</v>
      </c>
      <c r="O31" s="16" t="n">
        <f aca="false">ROUND(L31/(1+M31),2)</f>
        <v>644.85</v>
      </c>
      <c r="P31" s="16" t="n">
        <f aca="false">O31-N31</f>
        <v>0</v>
      </c>
      <c r="Q31" s="16" t="n">
        <f aca="false">ROUND(N31*M31,2)</f>
        <v>116.07</v>
      </c>
      <c r="R31" s="16" t="n">
        <f aca="false">N31+Q31</f>
        <v>760.92</v>
      </c>
      <c r="S31" s="17"/>
    </row>
    <row r="32" customFormat="false" ht="15" hidden="false" customHeight="false" outlineLevel="0" collapsed="false">
      <c r="A32" s="11" t="n">
        <v>28</v>
      </c>
      <c r="B32" s="12" t="s">
        <v>91</v>
      </c>
      <c r="C32" s="12" t="s">
        <v>92</v>
      </c>
      <c r="D32" s="12" t="s">
        <v>93</v>
      </c>
      <c r="E32" s="13" t="s">
        <v>81</v>
      </c>
      <c r="F32" s="14" t="n">
        <v>449</v>
      </c>
      <c r="G32" s="15" t="n">
        <v>0.28</v>
      </c>
      <c r="H32" s="15" t="n">
        <v>0</v>
      </c>
      <c r="I32" s="14" t="n">
        <v>323.28</v>
      </c>
      <c r="J32" s="16" t="n">
        <f aca="false">F32*(1-G32)*(1-H32)</f>
        <v>323.28</v>
      </c>
      <c r="K32" s="11" t="n">
        <v>4</v>
      </c>
      <c r="L32" s="16" t="n">
        <f aca="false">J32*K32</f>
        <v>1293.12</v>
      </c>
      <c r="M32" s="15" t="n">
        <v>0.18</v>
      </c>
      <c r="N32" s="14" t="n">
        <v>1095.86</v>
      </c>
      <c r="O32" s="16" t="n">
        <f aca="false">ROUND(L32/(1+M32),2)</f>
        <v>1095.86</v>
      </c>
      <c r="P32" s="16" t="n">
        <f aca="false">O32-N32</f>
        <v>0</v>
      </c>
      <c r="Q32" s="16" t="n">
        <f aca="false">ROUND(N32*M32,2)</f>
        <v>197.25</v>
      </c>
      <c r="R32" s="16" t="n">
        <f aca="false">N32+Q32</f>
        <v>1293.11</v>
      </c>
      <c r="S32" s="17"/>
    </row>
    <row r="33" customFormat="false" ht="15" hidden="false" customHeight="false" outlineLevel="0" collapsed="false">
      <c r="A33" s="11" t="n">
        <v>29</v>
      </c>
      <c r="B33" s="12" t="s">
        <v>94</v>
      </c>
      <c r="C33" s="12" t="s">
        <v>95</v>
      </c>
      <c r="D33" s="12" t="s">
        <v>96</v>
      </c>
      <c r="E33" s="13" t="s">
        <v>54</v>
      </c>
      <c r="F33" s="14" t="n">
        <v>100</v>
      </c>
      <c r="G33" s="15" t="n">
        <v>0.43</v>
      </c>
      <c r="H33" s="15" t="n">
        <v>0</v>
      </c>
      <c r="I33" s="14" t="n">
        <v>57</v>
      </c>
      <c r="J33" s="16" t="n">
        <f aca="false">F33*(1-G33)*(1-H33)</f>
        <v>57</v>
      </c>
      <c r="K33" s="11" t="n">
        <v>3</v>
      </c>
      <c r="L33" s="16" t="n">
        <f aca="false">J33*K33</f>
        <v>171</v>
      </c>
      <c r="M33" s="15" t="n">
        <v>0.18</v>
      </c>
      <c r="N33" s="14" t="n">
        <v>144.92</v>
      </c>
      <c r="O33" s="16" t="n">
        <f aca="false">ROUND(L33/(1+M33),2)</f>
        <v>144.92</v>
      </c>
      <c r="P33" s="16" t="n">
        <f aca="false">O33-N33</f>
        <v>0</v>
      </c>
      <c r="Q33" s="16" t="n">
        <f aca="false">ROUND(N33*M33,2)</f>
        <v>26.09</v>
      </c>
      <c r="R33" s="16" t="n">
        <f aca="false">N33+Q33</f>
        <v>171.01</v>
      </c>
      <c r="S33" s="17"/>
    </row>
    <row r="34" customFormat="false" ht="15" hidden="false" customHeight="false" outlineLevel="0" collapsed="false">
      <c r="A34" s="4" t="n">
        <v>30</v>
      </c>
      <c r="B34" s="5" t="s">
        <v>94</v>
      </c>
      <c r="C34" s="5" t="s">
        <v>97</v>
      </c>
      <c r="D34" s="5" t="s">
        <v>98</v>
      </c>
      <c r="E34" s="6" t="s">
        <v>54</v>
      </c>
      <c r="F34" s="7" t="n">
        <v>123</v>
      </c>
      <c r="G34" s="8" t="n">
        <v>0.43</v>
      </c>
      <c r="H34" s="8" t="n">
        <v>0</v>
      </c>
      <c r="I34" s="7" t="n">
        <v>70.11</v>
      </c>
      <c r="J34" s="9" t="n">
        <f aca="false">F34*(1-G34)*(1-H34)</f>
        <v>70.11</v>
      </c>
      <c r="K34" s="4" t="n">
        <v>10</v>
      </c>
      <c r="L34" s="9" t="n">
        <f aca="false">J34*K34</f>
        <v>701.1</v>
      </c>
      <c r="M34" s="8" t="n">
        <v>0.18</v>
      </c>
      <c r="N34" s="7" t="n">
        <v>594.15</v>
      </c>
      <c r="O34" s="9" t="n">
        <f aca="false">ROUND(L34/(1+M34),2)</f>
        <v>594.15</v>
      </c>
      <c r="P34" s="9" t="n">
        <f aca="false">O34-N34</f>
        <v>0</v>
      </c>
      <c r="Q34" s="9" t="n">
        <f aca="false">ROUND(N34*M34,2)</f>
        <v>106.95</v>
      </c>
      <c r="R34" s="9" t="n">
        <f aca="false">N34+Q34</f>
        <v>701.1</v>
      </c>
      <c r="S34" s="10"/>
    </row>
    <row r="35" customFormat="false" ht="15" hidden="false" customHeight="false" outlineLevel="0" collapsed="false">
      <c r="A35" s="4" t="n">
        <v>31</v>
      </c>
      <c r="B35" s="5" t="s">
        <v>94</v>
      </c>
      <c r="C35" s="5" t="s">
        <v>99</v>
      </c>
      <c r="D35" s="5" t="s">
        <v>100</v>
      </c>
      <c r="E35" s="6" t="s">
        <v>54</v>
      </c>
      <c r="F35" s="7" t="n">
        <v>2</v>
      </c>
      <c r="G35" s="8" t="n">
        <v>0.43</v>
      </c>
      <c r="H35" s="8" t="n">
        <v>0</v>
      </c>
      <c r="I35" s="7" t="n">
        <v>1.14</v>
      </c>
      <c r="J35" s="9" t="n">
        <f aca="false">F35*(1-G35)*(1-H35)</f>
        <v>1.14</v>
      </c>
      <c r="K35" s="4" t="n">
        <v>50</v>
      </c>
      <c r="L35" s="9" t="n">
        <f aca="false">J35*K35</f>
        <v>57</v>
      </c>
      <c r="M35" s="8" t="n">
        <v>0.18</v>
      </c>
      <c r="N35" s="7" t="n">
        <v>48.31</v>
      </c>
      <c r="O35" s="9" t="n">
        <f aca="false">ROUND(L35/(1+M35),2)</f>
        <v>48.31</v>
      </c>
      <c r="P35" s="9" t="n">
        <f aca="false">O35-N35</f>
        <v>0</v>
      </c>
      <c r="Q35" s="9" t="n">
        <f aca="false">ROUND(N35*M35,2)</f>
        <v>8.7</v>
      </c>
      <c r="R35" s="9" t="n">
        <f aca="false">N35+Q35</f>
        <v>57.01</v>
      </c>
      <c r="S35" s="10"/>
    </row>
    <row r="36" customFormat="false" ht="15" hidden="false" customHeight="false" outlineLevel="0" collapsed="false">
      <c r="A36" s="4" t="n">
        <v>32</v>
      </c>
      <c r="B36" s="5" t="s">
        <v>94</v>
      </c>
      <c r="C36" s="5" t="s">
        <v>101</v>
      </c>
      <c r="D36" s="5" t="s">
        <v>102</v>
      </c>
      <c r="E36" s="6" t="s">
        <v>54</v>
      </c>
      <c r="F36" s="7" t="n">
        <v>5</v>
      </c>
      <c r="G36" s="8" t="n">
        <v>0.43</v>
      </c>
      <c r="H36" s="8" t="n">
        <v>0</v>
      </c>
      <c r="I36" s="7" t="n">
        <v>2.85</v>
      </c>
      <c r="J36" s="9" t="n">
        <f aca="false">F36*(1-G36)*(1-H36)</f>
        <v>2.85</v>
      </c>
      <c r="K36" s="4" t="n">
        <v>50</v>
      </c>
      <c r="L36" s="9" t="n">
        <f aca="false">J36*K36</f>
        <v>142.5</v>
      </c>
      <c r="M36" s="8" t="n">
        <v>0.18</v>
      </c>
      <c r="N36" s="7" t="n">
        <v>120.76</v>
      </c>
      <c r="O36" s="9" t="n">
        <f aca="false">ROUND(L36/(1+M36),2)</f>
        <v>120.76</v>
      </c>
      <c r="P36" s="9" t="n">
        <f aca="false">O36-N36</f>
        <v>0</v>
      </c>
      <c r="Q36" s="9" t="n">
        <f aca="false">ROUND(N36*M36,2)</f>
        <v>21.74</v>
      </c>
      <c r="R36" s="9" t="n">
        <f aca="false">N36+Q36</f>
        <v>142.5</v>
      </c>
      <c r="S36" s="10"/>
    </row>
    <row r="37" customFormat="false" ht="15" hidden="false" customHeight="false" outlineLevel="0" collapsed="false">
      <c r="A37" s="4" t="n">
        <v>33</v>
      </c>
      <c r="B37" s="5" t="s">
        <v>94</v>
      </c>
      <c r="C37" s="5" t="s">
        <v>103</v>
      </c>
      <c r="D37" s="5" t="s">
        <v>104</v>
      </c>
      <c r="E37" s="6" t="s">
        <v>54</v>
      </c>
      <c r="F37" s="7" t="n">
        <v>290</v>
      </c>
      <c r="G37" s="8" t="n">
        <v>0.43</v>
      </c>
      <c r="H37" s="8" t="n">
        <v>0</v>
      </c>
      <c r="I37" s="7" t="n">
        <v>165.3</v>
      </c>
      <c r="J37" s="9" t="n">
        <f aca="false">F37*(1-G37)*(1-H37)</f>
        <v>165.3</v>
      </c>
      <c r="K37" s="4" t="n">
        <v>2</v>
      </c>
      <c r="L37" s="9" t="n">
        <f aca="false">J37*K37</f>
        <v>330.6</v>
      </c>
      <c r="M37" s="8" t="n">
        <v>0.18</v>
      </c>
      <c r="N37" s="7" t="n">
        <v>280.17</v>
      </c>
      <c r="O37" s="9" t="n">
        <f aca="false">ROUND(L37/(1+M37),2)</f>
        <v>280.17</v>
      </c>
      <c r="P37" s="9" t="n">
        <f aca="false">O37-N37</f>
        <v>0</v>
      </c>
      <c r="Q37" s="9" t="n">
        <f aca="false">ROUND(N37*M37,2)</f>
        <v>50.43</v>
      </c>
      <c r="R37" s="9" t="n">
        <f aca="false">N37+Q37</f>
        <v>330.6</v>
      </c>
      <c r="S37" s="10"/>
    </row>
    <row r="38" customFormat="false" ht="15" hidden="false" customHeight="false" outlineLevel="0" collapsed="false">
      <c r="A38" s="11" t="n">
        <v>34</v>
      </c>
      <c r="B38" s="12" t="s">
        <v>105</v>
      </c>
      <c r="C38" s="12" t="s">
        <v>106</v>
      </c>
      <c r="D38" s="12" t="s">
        <v>107</v>
      </c>
      <c r="E38" s="13" t="s">
        <v>108</v>
      </c>
      <c r="F38" s="14" t="n">
        <v>206</v>
      </c>
      <c r="G38" s="15" t="n">
        <v>0.4</v>
      </c>
      <c r="H38" s="15" t="n">
        <v>0</v>
      </c>
      <c r="I38" s="14" t="n">
        <v>123.6</v>
      </c>
      <c r="J38" s="16" t="n">
        <f aca="false">F38*(1-G38)*(1-H38)</f>
        <v>123.6</v>
      </c>
      <c r="K38" s="11" t="n">
        <v>5</v>
      </c>
      <c r="L38" s="16" t="n">
        <f aca="false">J38*K38</f>
        <v>618</v>
      </c>
      <c r="M38" s="15" t="n">
        <v>0.18</v>
      </c>
      <c r="N38" s="14" t="n">
        <v>523.73</v>
      </c>
      <c r="O38" s="16" t="n">
        <f aca="false">ROUND(L38/(1+M38),2)</f>
        <v>523.73</v>
      </c>
      <c r="P38" s="16" t="n">
        <f aca="false">O38-N38</f>
        <v>0</v>
      </c>
      <c r="Q38" s="16" t="n">
        <f aca="false">ROUND(N38*M38,2)</f>
        <v>94.27</v>
      </c>
      <c r="R38" s="16" t="n">
        <f aca="false">N38+Q38</f>
        <v>618</v>
      </c>
      <c r="S38" s="17" t="s">
        <v>109</v>
      </c>
    </row>
    <row r="39" customFormat="false" ht="15" hidden="false" customHeight="false" outlineLevel="0" collapsed="false">
      <c r="A39" s="11" t="n">
        <v>35</v>
      </c>
      <c r="B39" s="12" t="s">
        <v>110</v>
      </c>
      <c r="C39" s="12" t="s">
        <v>111</v>
      </c>
      <c r="D39" s="12" t="s">
        <v>112</v>
      </c>
      <c r="E39" s="13" t="s">
        <v>48</v>
      </c>
      <c r="F39" s="14" t="n">
        <v>160</v>
      </c>
      <c r="G39" s="15" t="n">
        <v>0.28</v>
      </c>
      <c r="H39" s="15" t="n">
        <v>0</v>
      </c>
      <c r="I39" s="14" t="n">
        <v>115.2</v>
      </c>
      <c r="J39" s="16" t="n">
        <f aca="false">F39*(1-G39)*(1-H39)</f>
        <v>115.2</v>
      </c>
      <c r="K39" s="11" t="n">
        <v>40</v>
      </c>
      <c r="L39" s="16" t="n">
        <f aca="false">J39*K39</f>
        <v>4608</v>
      </c>
      <c r="M39" s="15" t="n">
        <v>0.18</v>
      </c>
      <c r="N39" s="14" t="n">
        <v>3905.08</v>
      </c>
      <c r="O39" s="16" t="n">
        <f aca="false">ROUND(L39/(1+M39),2)</f>
        <v>3905.08</v>
      </c>
      <c r="P39" s="16" t="n">
        <f aca="false">O39-N39</f>
        <v>0</v>
      </c>
      <c r="Q39" s="16" t="n">
        <f aca="false">ROUND(N39*M39,2)</f>
        <v>702.91</v>
      </c>
      <c r="R39" s="16" t="n">
        <f aca="false">N39+Q39</f>
        <v>4607.99</v>
      </c>
      <c r="S39" s="17"/>
    </row>
    <row r="40" customFormat="false" ht="15" hidden="false" customHeight="false" outlineLevel="0" collapsed="false">
      <c r="A40" s="11" t="n">
        <v>36</v>
      </c>
      <c r="B40" s="12" t="s">
        <v>113</v>
      </c>
      <c r="C40" s="12" t="s">
        <v>114</v>
      </c>
      <c r="D40" s="12" t="s">
        <v>115</v>
      </c>
      <c r="E40" s="13" t="s">
        <v>116</v>
      </c>
      <c r="F40" s="14" t="n">
        <v>265</v>
      </c>
      <c r="G40" s="15" t="n">
        <v>0.42</v>
      </c>
      <c r="H40" s="15" t="n">
        <v>0</v>
      </c>
      <c r="I40" s="14" t="n">
        <v>153.7</v>
      </c>
      <c r="J40" s="16" t="n">
        <f aca="false">F40*(1-G40)*(1-H40)</f>
        <v>153.7</v>
      </c>
      <c r="K40" s="11" t="n">
        <v>5</v>
      </c>
      <c r="L40" s="16" t="n">
        <f aca="false">J40*K40</f>
        <v>768.5</v>
      </c>
      <c r="M40" s="15" t="n">
        <v>0.18</v>
      </c>
      <c r="N40" s="14" t="n">
        <v>651.27</v>
      </c>
      <c r="O40" s="16" t="n">
        <f aca="false">ROUND(L40/(1+M40),2)</f>
        <v>651.27</v>
      </c>
      <c r="P40" s="16" t="n">
        <f aca="false">O40-N40</f>
        <v>0</v>
      </c>
      <c r="Q40" s="16" t="n">
        <f aca="false">ROUND(N40*M40,2)</f>
        <v>117.23</v>
      </c>
      <c r="R40" s="16" t="n">
        <f aca="false">N40+Q40</f>
        <v>768.5</v>
      </c>
      <c r="S40" s="17"/>
    </row>
    <row r="41" customFormat="false" ht="15" hidden="false" customHeight="false" outlineLevel="0" collapsed="false">
      <c r="A41" s="4" t="n">
        <v>37</v>
      </c>
      <c r="B41" s="5" t="s">
        <v>113</v>
      </c>
      <c r="C41" s="5" t="s">
        <v>117</v>
      </c>
      <c r="D41" s="5" t="s">
        <v>118</v>
      </c>
      <c r="E41" s="6" t="s">
        <v>116</v>
      </c>
      <c r="F41" s="7" t="n">
        <v>285</v>
      </c>
      <c r="G41" s="8" t="n">
        <v>0.42</v>
      </c>
      <c r="H41" s="8" t="n">
        <v>0</v>
      </c>
      <c r="I41" s="7" t="n">
        <v>165.3</v>
      </c>
      <c r="J41" s="9" t="n">
        <f aca="false">F41*(1-G41)*(1-H41)</f>
        <v>165.3</v>
      </c>
      <c r="K41" s="4" t="n">
        <v>3</v>
      </c>
      <c r="L41" s="9" t="n">
        <f aca="false">J41*K41</f>
        <v>495.9</v>
      </c>
      <c r="M41" s="8" t="n">
        <v>0.18</v>
      </c>
      <c r="N41" s="7" t="n">
        <v>420.25</v>
      </c>
      <c r="O41" s="9" t="n">
        <f aca="false">ROUND(L41/(1+M41),2)</f>
        <v>420.25</v>
      </c>
      <c r="P41" s="9" t="n">
        <f aca="false">O41-N41</f>
        <v>0</v>
      </c>
      <c r="Q41" s="9" t="n">
        <f aca="false">ROUND(N41*M41,2)</f>
        <v>75.65</v>
      </c>
      <c r="R41" s="9" t="n">
        <f aca="false">N41+Q41</f>
        <v>495.9</v>
      </c>
      <c r="S41" s="10"/>
    </row>
    <row r="42" customFormat="false" ht="15" hidden="false" customHeight="false" outlineLevel="0" collapsed="false">
      <c r="A42" s="4" t="n">
        <v>38</v>
      </c>
      <c r="B42" s="5" t="s">
        <v>113</v>
      </c>
      <c r="C42" s="5" t="s">
        <v>119</v>
      </c>
      <c r="D42" s="5" t="s">
        <v>120</v>
      </c>
      <c r="E42" s="6" t="s">
        <v>48</v>
      </c>
      <c r="F42" s="7" t="n">
        <v>320</v>
      </c>
      <c r="G42" s="8" t="n">
        <v>0.42</v>
      </c>
      <c r="H42" s="8" t="n">
        <v>0</v>
      </c>
      <c r="I42" s="7" t="n">
        <v>185.6</v>
      </c>
      <c r="J42" s="9" t="n">
        <f aca="false">F42*(1-G42)*(1-H42)</f>
        <v>185.6</v>
      </c>
      <c r="K42" s="4" t="n">
        <v>3</v>
      </c>
      <c r="L42" s="9" t="n">
        <f aca="false">J42*K42</f>
        <v>556.8</v>
      </c>
      <c r="M42" s="8" t="n">
        <v>0.18</v>
      </c>
      <c r="N42" s="7" t="n">
        <v>471.86</v>
      </c>
      <c r="O42" s="9" t="n">
        <f aca="false">ROUND(L42/(1+M42),2)</f>
        <v>471.86</v>
      </c>
      <c r="P42" s="9" t="n">
        <f aca="false">O42-N42</f>
        <v>0</v>
      </c>
      <c r="Q42" s="9" t="n">
        <f aca="false">ROUND(N42*M42,2)</f>
        <v>84.93</v>
      </c>
      <c r="R42" s="9" t="n">
        <f aca="false">N42+Q42</f>
        <v>556.79</v>
      </c>
      <c r="S42" s="10"/>
    </row>
    <row r="43" customFormat="false" ht="15" hidden="false" customHeight="false" outlineLevel="0" collapsed="false">
      <c r="A43" s="11" t="n">
        <v>39</v>
      </c>
      <c r="B43" s="12" t="s">
        <v>121</v>
      </c>
      <c r="C43" s="12" t="s">
        <v>122</v>
      </c>
      <c r="D43" s="12" t="s">
        <v>123</v>
      </c>
      <c r="E43" s="13" t="s">
        <v>34</v>
      </c>
      <c r="F43" s="14" t="n">
        <v>540</v>
      </c>
      <c r="G43" s="15" t="n">
        <v>0.38</v>
      </c>
      <c r="H43" s="15" t="n">
        <v>0</v>
      </c>
      <c r="I43" s="14" t="n">
        <v>334.8</v>
      </c>
      <c r="J43" s="16" t="n">
        <f aca="false">F43*(1-G43)*(1-H43)</f>
        <v>334.8</v>
      </c>
      <c r="K43" s="11" t="n">
        <v>10</v>
      </c>
      <c r="L43" s="16" t="n">
        <f aca="false">J43*K43</f>
        <v>3348</v>
      </c>
      <c r="M43" s="15" t="n">
        <v>0.18</v>
      </c>
      <c r="N43" s="14" t="n">
        <v>2837.29</v>
      </c>
      <c r="O43" s="16" t="n">
        <f aca="false">ROUND(L43/(1+M43),2)</f>
        <v>2837.29</v>
      </c>
      <c r="P43" s="16" t="n">
        <f aca="false">O43-N43</f>
        <v>0</v>
      </c>
      <c r="Q43" s="16" t="n">
        <f aca="false">ROUND(N43*M43,2)</f>
        <v>510.71</v>
      </c>
      <c r="R43" s="16" t="n">
        <f aca="false">N43+Q43</f>
        <v>3348</v>
      </c>
      <c r="S43" s="17"/>
    </row>
    <row r="44" customFormat="false" ht="15" hidden="false" customHeight="false" outlineLevel="0" collapsed="false">
      <c r="A44" s="4" t="n">
        <v>40</v>
      </c>
      <c r="B44" s="5" t="s">
        <v>121</v>
      </c>
      <c r="C44" s="5" t="s">
        <v>124</v>
      </c>
      <c r="D44" s="5" t="s">
        <v>125</v>
      </c>
      <c r="E44" s="6" t="s">
        <v>34</v>
      </c>
      <c r="F44" s="7" t="n">
        <v>530</v>
      </c>
      <c r="G44" s="8" t="n">
        <v>0.38</v>
      </c>
      <c r="H44" s="8" t="n">
        <v>0</v>
      </c>
      <c r="I44" s="7" t="n">
        <v>328.6</v>
      </c>
      <c r="J44" s="9" t="n">
        <f aca="false">F44*(1-G44)*(1-H44)</f>
        <v>328.6</v>
      </c>
      <c r="K44" s="4" t="n">
        <v>2</v>
      </c>
      <c r="L44" s="9" t="n">
        <f aca="false">J44*K44</f>
        <v>657.2</v>
      </c>
      <c r="M44" s="8" t="n">
        <v>0.18</v>
      </c>
      <c r="N44" s="7" t="n">
        <v>556.95</v>
      </c>
      <c r="O44" s="9" t="n">
        <f aca="false">ROUND(L44/(1+M44),2)</f>
        <v>556.95</v>
      </c>
      <c r="P44" s="9" t="n">
        <f aca="false">O44-N44</f>
        <v>0</v>
      </c>
      <c r="Q44" s="9" t="n">
        <f aca="false">ROUND(N44*M44,2)</f>
        <v>100.25</v>
      </c>
      <c r="R44" s="9" t="n">
        <f aca="false">N44+Q44</f>
        <v>657.2</v>
      </c>
      <c r="S44" s="10"/>
    </row>
    <row r="45" customFormat="false" ht="15" hidden="false" customHeight="false" outlineLevel="0" collapsed="false">
      <c r="A45" s="4" t="n">
        <v>41</v>
      </c>
      <c r="B45" s="5" t="s">
        <v>121</v>
      </c>
      <c r="C45" s="5" t="s">
        <v>126</v>
      </c>
      <c r="D45" s="5" t="s">
        <v>127</v>
      </c>
      <c r="E45" s="6" t="s">
        <v>34</v>
      </c>
      <c r="F45" s="7" t="n">
        <v>530</v>
      </c>
      <c r="G45" s="8" t="n">
        <v>0.38</v>
      </c>
      <c r="H45" s="8" t="n">
        <v>0</v>
      </c>
      <c r="I45" s="7" t="n">
        <v>328.6</v>
      </c>
      <c r="J45" s="9" t="n">
        <f aca="false">F45*(1-G45)*(1-H45)</f>
        <v>328.6</v>
      </c>
      <c r="K45" s="4" t="n">
        <v>2</v>
      </c>
      <c r="L45" s="9" t="n">
        <f aca="false">J45*K45</f>
        <v>657.2</v>
      </c>
      <c r="M45" s="8" t="n">
        <v>0.18</v>
      </c>
      <c r="N45" s="7" t="n">
        <v>556.95</v>
      </c>
      <c r="O45" s="9" t="n">
        <f aca="false">ROUND(L45/(1+M45),2)</f>
        <v>556.95</v>
      </c>
      <c r="P45" s="9" t="n">
        <f aca="false">O45-N45</f>
        <v>0</v>
      </c>
      <c r="Q45" s="9" t="n">
        <f aca="false">ROUND(N45*M45,2)</f>
        <v>100.25</v>
      </c>
      <c r="R45" s="9" t="n">
        <f aca="false">N45+Q45</f>
        <v>657.2</v>
      </c>
      <c r="S45" s="10"/>
    </row>
    <row r="46" customFormat="false" ht="15" hidden="false" customHeight="false" outlineLevel="0" collapsed="false">
      <c r="A46" s="4" t="n">
        <v>42</v>
      </c>
      <c r="B46" s="5" t="s">
        <v>121</v>
      </c>
      <c r="C46" s="5" t="s">
        <v>128</v>
      </c>
      <c r="D46" s="5" t="s">
        <v>129</v>
      </c>
      <c r="E46" s="6" t="s">
        <v>34</v>
      </c>
      <c r="F46" s="7" t="n">
        <v>525</v>
      </c>
      <c r="G46" s="8" t="n">
        <v>0.38</v>
      </c>
      <c r="H46" s="8" t="n">
        <v>0</v>
      </c>
      <c r="I46" s="7" t="n">
        <v>325.5</v>
      </c>
      <c r="J46" s="9" t="n">
        <f aca="false">F46*(1-G46)*(1-H46)</f>
        <v>325.5</v>
      </c>
      <c r="K46" s="4" t="n">
        <v>2</v>
      </c>
      <c r="L46" s="9" t="n">
        <f aca="false">J46*K46</f>
        <v>651</v>
      </c>
      <c r="M46" s="8" t="n">
        <v>0.18</v>
      </c>
      <c r="N46" s="7" t="n">
        <v>551.69</v>
      </c>
      <c r="O46" s="9" t="n">
        <f aca="false">ROUND(L46/(1+M46),2)</f>
        <v>551.69</v>
      </c>
      <c r="P46" s="9" t="n">
        <f aca="false">O46-N46</f>
        <v>0</v>
      </c>
      <c r="Q46" s="9" t="n">
        <f aca="false">ROUND(N46*M46,2)</f>
        <v>99.3</v>
      </c>
      <c r="R46" s="9" t="n">
        <f aca="false">N46+Q46</f>
        <v>650.99</v>
      </c>
      <c r="S46" s="10"/>
    </row>
    <row r="47" customFormat="false" ht="15" hidden="false" customHeight="false" outlineLevel="0" collapsed="false">
      <c r="A47" s="4" t="n">
        <v>43</v>
      </c>
      <c r="B47" s="5" t="s">
        <v>121</v>
      </c>
      <c r="C47" s="5" t="s">
        <v>130</v>
      </c>
      <c r="D47" s="5" t="s">
        <v>131</v>
      </c>
      <c r="E47" s="6" t="s">
        <v>34</v>
      </c>
      <c r="F47" s="7" t="n">
        <v>595</v>
      </c>
      <c r="G47" s="8" t="n">
        <v>0.38</v>
      </c>
      <c r="H47" s="8" t="n">
        <v>0</v>
      </c>
      <c r="I47" s="7" t="n">
        <v>368.9</v>
      </c>
      <c r="J47" s="9" t="n">
        <f aca="false">F47*(1-G47)*(1-H47)</f>
        <v>368.9</v>
      </c>
      <c r="K47" s="4" t="n">
        <v>2</v>
      </c>
      <c r="L47" s="9" t="n">
        <f aca="false">J47*K47</f>
        <v>737.8</v>
      </c>
      <c r="M47" s="8" t="n">
        <v>0.18</v>
      </c>
      <c r="N47" s="7" t="n">
        <v>625.25</v>
      </c>
      <c r="O47" s="9" t="n">
        <f aca="false">ROUND(L47/(1+M47),2)</f>
        <v>625.25</v>
      </c>
      <c r="P47" s="9" t="n">
        <f aca="false">O47-N47</f>
        <v>0</v>
      </c>
      <c r="Q47" s="9" t="n">
        <f aca="false">ROUND(N47*M47,2)</f>
        <v>112.55</v>
      </c>
      <c r="R47" s="9" t="n">
        <f aca="false">N47+Q47</f>
        <v>737.8</v>
      </c>
      <c r="S47" s="10"/>
    </row>
    <row r="48" customFormat="false" ht="15" hidden="false" customHeight="false" outlineLevel="0" collapsed="false">
      <c r="A48" s="4" t="n">
        <v>44</v>
      </c>
      <c r="B48" s="5" t="s">
        <v>121</v>
      </c>
      <c r="C48" s="5" t="s">
        <v>132</v>
      </c>
      <c r="D48" s="5" t="s">
        <v>133</v>
      </c>
      <c r="E48" s="6" t="s">
        <v>34</v>
      </c>
      <c r="F48" s="7" t="n">
        <v>775</v>
      </c>
      <c r="G48" s="8" t="n">
        <v>0.38</v>
      </c>
      <c r="H48" s="8" t="n">
        <v>0</v>
      </c>
      <c r="I48" s="7" t="n">
        <v>480.5</v>
      </c>
      <c r="J48" s="9" t="n">
        <f aca="false">F48*(1-G48)*(1-H48)</f>
        <v>480.5</v>
      </c>
      <c r="K48" s="4" t="n">
        <v>4</v>
      </c>
      <c r="L48" s="9" t="n">
        <f aca="false">J48*K48</f>
        <v>1922</v>
      </c>
      <c r="M48" s="8" t="n">
        <v>0.18</v>
      </c>
      <c r="N48" s="7" t="n">
        <v>1628.81</v>
      </c>
      <c r="O48" s="9" t="n">
        <f aca="false">ROUND(L48/(1+M48),2)</f>
        <v>1628.81</v>
      </c>
      <c r="P48" s="9" t="n">
        <f aca="false">O48-N48</f>
        <v>0</v>
      </c>
      <c r="Q48" s="9" t="n">
        <f aca="false">ROUND(N48*M48,2)</f>
        <v>293.19</v>
      </c>
      <c r="R48" s="9" t="n">
        <f aca="false">N48+Q48</f>
        <v>1922</v>
      </c>
      <c r="S48" s="10" t="s">
        <v>134</v>
      </c>
    </row>
    <row r="49" customFormat="false" ht="15" hidden="false" customHeight="false" outlineLevel="0" collapsed="false">
      <c r="A49" s="4" t="n">
        <v>45</v>
      </c>
      <c r="B49" s="5" t="s">
        <v>121</v>
      </c>
      <c r="C49" s="5" t="s">
        <v>135</v>
      </c>
      <c r="D49" s="5" t="s">
        <v>136</v>
      </c>
      <c r="E49" s="6" t="s">
        <v>34</v>
      </c>
      <c r="F49" s="7" t="n">
        <v>1260</v>
      </c>
      <c r="G49" s="8" t="n">
        <v>0.38</v>
      </c>
      <c r="H49" s="8" t="n">
        <v>0</v>
      </c>
      <c r="I49" s="7" t="n">
        <v>781.2</v>
      </c>
      <c r="J49" s="9" t="n">
        <f aca="false">F49*(1-G49)*(1-H49)</f>
        <v>781.2</v>
      </c>
      <c r="K49" s="4" t="n">
        <v>3</v>
      </c>
      <c r="L49" s="9" t="n">
        <f aca="false">J49*K49</f>
        <v>2343.6</v>
      </c>
      <c r="M49" s="8" t="n">
        <v>0.18</v>
      </c>
      <c r="N49" s="7" t="n">
        <v>1986.1</v>
      </c>
      <c r="O49" s="9" t="n">
        <f aca="false">ROUND(L49/(1+M49),2)</f>
        <v>1986.1</v>
      </c>
      <c r="P49" s="9" t="n">
        <f aca="false">O49-N49</f>
        <v>0</v>
      </c>
      <c r="Q49" s="9" t="n">
        <f aca="false">ROUND(N49*M49,2)</f>
        <v>357.5</v>
      </c>
      <c r="R49" s="9" t="n">
        <f aca="false">N49+Q49</f>
        <v>2343.6</v>
      </c>
      <c r="S49" s="10"/>
    </row>
    <row r="50" customFormat="false" ht="15" hidden="false" customHeight="false" outlineLevel="0" collapsed="false">
      <c r="A50" s="4" t="n">
        <v>46</v>
      </c>
      <c r="B50" s="5" t="s">
        <v>121</v>
      </c>
      <c r="C50" s="5" t="s">
        <v>137</v>
      </c>
      <c r="D50" s="5" t="s">
        <v>138</v>
      </c>
      <c r="E50" s="6" t="s">
        <v>34</v>
      </c>
      <c r="F50" s="7" t="n">
        <v>1025</v>
      </c>
      <c r="G50" s="8" t="n">
        <v>0.38</v>
      </c>
      <c r="H50" s="8" t="n">
        <v>0</v>
      </c>
      <c r="I50" s="7" t="n">
        <v>635.5</v>
      </c>
      <c r="J50" s="9" t="n">
        <f aca="false">F50*(1-G50)*(1-H50)</f>
        <v>635.5</v>
      </c>
      <c r="K50" s="4" t="n">
        <v>3</v>
      </c>
      <c r="L50" s="9" t="n">
        <f aca="false">J50*K50</f>
        <v>1906.5</v>
      </c>
      <c r="M50" s="8" t="n">
        <v>0.18</v>
      </c>
      <c r="N50" s="7" t="n">
        <v>1615.68</v>
      </c>
      <c r="O50" s="9" t="n">
        <f aca="false">ROUND(L50/(1+M50),2)</f>
        <v>1615.68</v>
      </c>
      <c r="P50" s="9" t="n">
        <f aca="false">O50-N50</f>
        <v>0</v>
      </c>
      <c r="Q50" s="9" t="n">
        <f aca="false">ROUND(N50*M50,2)</f>
        <v>290.82</v>
      </c>
      <c r="R50" s="9" t="n">
        <f aca="false">N50+Q50</f>
        <v>1906.5</v>
      </c>
      <c r="S50" s="10"/>
    </row>
    <row r="51" customFormat="false" ht="15" hidden="false" customHeight="false" outlineLevel="0" collapsed="false">
      <c r="A51" s="4" t="n">
        <v>47</v>
      </c>
      <c r="B51" s="5" t="s">
        <v>121</v>
      </c>
      <c r="C51" s="5" t="s">
        <v>139</v>
      </c>
      <c r="D51" s="5" t="s">
        <v>140</v>
      </c>
      <c r="E51" s="6" t="s">
        <v>34</v>
      </c>
      <c r="F51" s="7" t="n">
        <v>445</v>
      </c>
      <c r="G51" s="8" t="n">
        <v>0.38</v>
      </c>
      <c r="H51" s="8" t="n">
        <v>0</v>
      </c>
      <c r="I51" s="7" t="n">
        <v>275.9</v>
      </c>
      <c r="J51" s="9" t="n">
        <f aca="false">F51*(1-G51)*(1-H51)</f>
        <v>275.9</v>
      </c>
      <c r="K51" s="4" t="n">
        <v>5</v>
      </c>
      <c r="L51" s="9" t="n">
        <f aca="false">J51*K51</f>
        <v>1379.5</v>
      </c>
      <c r="M51" s="8" t="n">
        <v>0.18</v>
      </c>
      <c r="N51" s="7" t="n">
        <v>1169.07</v>
      </c>
      <c r="O51" s="9" t="n">
        <f aca="false">ROUND(L51/(1+M51),2)</f>
        <v>1169.07</v>
      </c>
      <c r="P51" s="9" t="n">
        <f aca="false">O51-N51</f>
        <v>0</v>
      </c>
      <c r="Q51" s="9" t="n">
        <f aca="false">ROUND(N51*M51,2)</f>
        <v>210.43</v>
      </c>
      <c r="R51" s="9" t="n">
        <f aca="false">N51+Q51</f>
        <v>1379.5</v>
      </c>
      <c r="S51" s="10"/>
    </row>
    <row r="52" customFormat="false" ht="15" hidden="false" customHeight="false" outlineLevel="0" collapsed="false">
      <c r="A52" s="4" t="n">
        <v>48</v>
      </c>
      <c r="B52" s="5" t="s">
        <v>121</v>
      </c>
      <c r="C52" s="5" t="s">
        <v>141</v>
      </c>
      <c r="D52" s="5" t="s">
        <v>142</v>
      </c>
      <c r="E52" s="6" t="s">
        <v>34</v>
      </c>
      <c r="F52" s="7" t="n">
        <v>180</v>
      </c>
      <c r="G52" s="8" t="n">
        <v>0.38</v>
      </c>
      <c r="H52" s="8" t="n">
        <v>0</v>
      </c>
      <c r="I52" s="7" t="n">
        <v>111.6</v>
      </c>
      <c r="J52" s="9" t="n">
        <f aca="false">F52*(1-G52)*(1-H52)</f>
        <v>111.6</v>
      </c>
      <c r="K52" s="4" t="n">
        <v>5</v>
      </c>
      <c r="L52" s="9" t="n">
        <f aca="false">J52*K52</f>
        <v>558</v>
      </c>
      <c r="M52" s="8" t="n">
        <v>0.18</v>
      </c>
      <c r="N52" s="7" t="n">
        <v>472.88</v>
      </c>
      <c r="O52" s="9" t="n">
        <f aca="false">ROUND(L52/(1+M52),2)</f>
        <v>472.88</v>
      </c>
      <c r="P52" s="9" t="n">
        <f aca="false">O52-N52</f>
        <v>0</v>
      </c>
      <c r="Q52" s="9" t="n">
        <f aca="false">ROUND(N52*M52,2)</f>
        <v>85.12</v>
      </c>
      <c r="R52" s="9" t="n">
        <f aca="false">N52+Q52</f>
        <v>558</v>
      </c>
      <c r="S52" s="10"/>
    </row>
    <row r="53" customFormat="false" ht="15" hidden="false" customHeight="false" outlineLevel="0" collapsed="false">
      <c r="A53" s="4" t="n">
        <v>49</v>
      </c>
      <c r="B53" s="5" t="s">
        <v>121</v>
      </c>
      <c r="C53" s="5" t="s">
        <v>143</v>
      </c>
      <c r="D53" s="5" t="s">
        <v>144</v>
      </c>
      <c r="E53" s="6" t="s">
        <v>34</v>
      </c>
      <c r="F53" s="7" t="n">
        <v>470</v>
      </c>
      <c r="G53" s="8" t="n">
        <v>0.38</v>
      </c>
      <c r="H53" s="8" t="n">
        <v>0</v>
      </c>
      <c r="I53" s="7" t="n">
        <v>291.4</v>
      </c>
      <c r="J53" s="9" t="n">
        <f aca="false">F53*(1-G53)*(1-H53)</f>
        <v>291.4</v>
      </c>
      <c r="K53" s="4" t="n">
        <v>4</v>
      </c>
      <c r="L53" s="9" t="n">
        <f aca="false">J53*K53</f>
        <v>1165.6</v>
      </c>
      <c r="M53" s="8" t="n">
        <v>0.18</v>
      </c>
      <c r="N53" s="7" t="n">
        <v>987.8</v>
      </c>
      <c r="O53" s="9" t="n">
        <f aca="false">ROUND(L53/(1+M53),2)</f>
        <v>987.8</v>
      </c>
      <c r="P53" s="9" t="n">
        <f aca="false">O53-N53</f>
        <v>0</v>
      </c>
      <c r="Q53" s="9" t="n">
        <f aca="false">ROUND(N53*M53,2)</f>
        <v>177.8</v>
      </c>
      <c r="R53" s="9" t="n">
        <f aca="false">N53+Q53</f>
        <v>1165.6</v>
      </c>
      <c r="S53" s="10"/>
    </row>
    <row r="54" customFormat="false" ht="15" hidden="false" customHeight="false" outlineLevel="0" collapsed="false">
      <c r="A54" s="4" t="n">
        <v>50</v>
      </c>
      <c r="B54" s="5" t="s">
        <v>121</v>
      </c>
      <c r="C54" s="5" t="s">
        <v>145</v>
      </c>
      <c r="D54" s="5" t="s">
        <v>146</v>
      </c>
      <c r="E54" s="6" t="s">
        <v>34</v>
      </c>
      <c r="F54" s="7" t="n">
        <v>445</v>
      </c>
      <c r="G54" s="8" t="n">
        <v>0.38</v>
      </c>
      <c r="H54" s="8" t="n">
        <v>0</v>
      </c>
      <c r="I54" s="7" t="n">
        <v>275.9</v>
      </c>
      <c r="J54" s="9" t="n">
        <f aca="false">F54*(1-G54)*(1-H54)</f>
        <v>275.9</v>
      </c>
      <c r="K54" s="4" t="n">
        <v>4</v>
      </c>
      <c r="L54" s="9" t="n">
        <f aca="false">J54*K54</f>
        <v>1103.6</v>
      </c>
      <c r="M54" s="8" t="n">
        <v>0.18</v>
      </c>
      <c r="N54" s="7" t="n">
        <v>935.25</v>
      </c>
      <c r="O54" s="9" t="n">
        <f aca="false">ROUND(L54/(1+M54),2)</f>
        <v>935.25</v>
      </c>
      <c r="P54" s="9" t="n">
        <f aca="false">O54-N54</f>
        <v>0</v>
      </c>
      <c r="Q54" s="9" t="n">
        <f aca="false">ROUND(N54*M54,2)</f>
        <v>168.35</v>
      </c>
      <c r="R54" s="9" t="n">
        <f aca="false">N54+Q54</f>
        <v>1103.6</v>
      </c>
      <c r="S54" s="10"/>
    </row>
    <row r="55" customFormat="false" ht="15" hidden="false" customHeight="false" outlineLevel="0" collapsed="false">
      <c r="A55" s="4" t="n">
        <v>51</v>
      </c>
      <c r="B55" s="5" t="s">
        <v>121</v>
      </c>
      <c r="C55" s="5" t="s">
        <v>147</v>
      </c>
      <c r="D55" s="5" t="s">
        <v>148</v>
      </c>
      <c r="E55" s="6" t="s">
        <v>34</v>
      </c>
      <c r="F55" s="7" t="n">
        <v>1095</v>
      </c>
      <c r="G55" s="8" t="n">
        <v>0.38</v>
      </c>
      <c r="H55" s="8" t="n">
        <v>0</v>
      </c>
      <c r="I55" s="7" t="n">
        <v>678.9</v>
      </c>
      <c r="J55" s="9" t="n">
        <f aca="false">F55*(1-G55)*(1-H55)</f>
        <v>678.9</v>
      </c>
      <c r="K55" s="4" t="n">
        <v>3</v>
      </c>
      <c r="L55" s="9" t="n">
        <f aca="false">J55*K55</f>
        <v>2036.7</v>
      </c>
      <c r="M55" s="8" t="n">
        <v>0.18</v>
      </c>
      <c r="N55" s="7" t="n">
        <v>1726.02</v>
      </c>
      <c r="O55" s="9" t="n">
        <f aca="false">ROUND(L55/(1+M55),2)</f>
        <v>1726.02</v>
      </c>
      <c r="P55" s="9" t="n">
        <f aca="false">O55-N55</f>
        <v>0</v>
      </c>
      <c r="Q55" s="9" t="n">
        <f aca="false">ROUND(N55*M55,2)</f>
        <v>310.68</v>
      </c>
      <c r="R55" s="9" t="n">
        <f aca="false">N55+Q55</f>
        <v>2036.7</v>
      </c>
      <c r="S55" s="10"/>
    </row>
    <row r="56" customFormat="false" ht="15" hidden="false" customHeight="false" outlineLevel="0" collapsed="false">
      <c r="A56" s="4" t="n">
        <v>52</v>
      </c>
      <c r="B56" s="5" t="s">
        <v>121</v>
      </c>
      <c r="C56" s="5" t="s">
        <v>149</v>
      </c>
      <c r="D56" s="5" t="s">
        <v>150</v>
      </c>
      <c r="E56" s="6" t="s">
        <v>34</v>
      </c>
      <c r="F56" s="7" t="n">
        <v>1225</v>
      </c>
      <c r="G56" s="8" t="n">
        <v>0.38</v>
      </c>
      <c r="H56" s="8" t="n">
        <v>0</v>
      </c>
      <c r="I56" s="7" t="n">
        <v>759.5</v>
      </c>
      <c r="J56" s="9" t="n">
        <f aca="false">F56*(1-G56)*(1-H56)</f>
        <v>759.5</v>
      </c>
      <c r="K56" s="4" t="n">
        <v>3</v>
      </c>
      <c r="L56" s="9" t="n">
        <f aca="false">J56*K56</f>
        <v>2278.5</v>
      </c>
      <c r="M56" s="8" t="n">
        <v>0.18</v>
      </c>
      <c r="N56" s="7" t="n">
        <v>1930.93</v>
      </c>
      <c r="O56" s="9" t="n">
        <f aca="false">ROUND(L56/(1+M56),2)</f>
        <v>1930.93</v>
      </c>
      <c r="P56" s="9" t="n">
        <f aca="false">O56-N56</f>
        <v>0</v>
      </c>
      <c r="Q56" s="9" t="n">
        <f aca="false">ROUND(N56*M56,2)</f>
        <v>347.57</v>
      </c>
      <c r="R56" s="9" t="n">
        <f aca="false">N56+Q56</f>
        <v>2278.5</v>
      </c>
      <c r="S56" s="10"/>
    </row>
    <row r="57" customFormat="false" ht="15" hidden="false" customHeight="false" outlineLevel="0" collapsed="false">
      <c r="A57" s="4" t="n">
        <v>53</v>
      </c>
      <c r="B57" s="5" t="s">
        <v>121</v>
      </c>
      <c r="C57" s="5" t="s">
        <v>151</v>
      </c>
      <c r="D57" s="5" t="s">
        <v>152</v>
      </c>
      <c r="E57" s="6" t="s">
        <v>34</v>
      </c>
      <c r="F57" s="7" t="n">
        <v>1145</v>
      </c>
      <c r="G57" s="8" t="n">
        <v>0.38</v>
      </c>
      <c r="H57" s="8" t="n">
        <v>0</v>
      </c>
      <c r="I57" s="7" t="n">
        <v>709.9</v>
      </c>
      <c r="J57" s="9" t="n">
        <f aca="false">F57*(1-G57)*(1-H57)</f>
        <v>709.9</v>
      </c>
      <c r="K57" s="4" t="n">
        <v>3</v>
      </c>
      <c r="L57" s="9" t="n">
        <f aca="false">J57*K57</f>
        <v>2129.7</v>
      </c>
      <c r="M57" s="8" t="n">
        <v>0.18</v>
      </c>
      <c r="N57" s="7" t="n">
        <v>1804.83</v>
      </c>
      <c r="O57" s="9" t="n">
        <f aca="false">ROUND(L57/(1+M57),2)</f>
        <v>1804.83</v>
      </c>
      <c r="P57" s="9" t="n">
        <f aca="false">O57-N57</f>
        <v>0</v>
      </c>
      <c r="Q57" s="9" t="n">
        <f aca="false">ROUND(N57*M57,2)</f>
        <v>324.87</v>
      </c>
      <c r="R57" s="9" t="n">
        <f aca="false">N57+Q57</f>
        <v>2129.7</v>
      </c>
      <c r="S57" s="10"/>
    </row>
    <row r="58" customFormat="false" ht="15" hidden="false" customHeight="false" outlineLevel="0" collapsed="false">
      <c r="A58" s="4" t="n">
        <v>54</v>
      </c>
      <c r="B58" s="5" t="s">
        <v>121</v>
      </c>
      <c r="C58" s="5" t="s">
        <v>153</v>
      </c>
      <c r="D58" s="5" t="s">
        <v>154</v>
      </c>
      <c r="E58" s="6" t="s">
        <v>34</v>
      </c>
      <c r="F58" s="7" t="n">
        <v>615</v>
      </c>
      <c r="G58" s="8" t="n">
        <v>0.38</v>
      </c>
      <c r="H58" s="8" t="n">
        <v>0</v>
      </c>
      <c r="I58" s="7" t="n">
        <v>381.3</v>
      </c>
      <c r="J58" s="9" t="n">
        <f aca="false">F58*(1-G58)*(1-H58)</f>
        <v>381.3</v>
      </c>
      <c r="K58" s="4" t="n">
        <v>3</v>
      </c>
      <c r="L58" s="9" t="n">
        <f aca="false">J58*K58</f>
        <v>1143.9</v>
      </c>
      <c r="M58" s="8" t="n">
        <v>0.18</v>
      </c>
      <c r="N58" s="7" t="n">
        <v>969.41</v>
      </c>
      <c r="O58" s="9" t="n">
        <f aca="false">ROUND(L58/(1+M58),2)</f>
        <v>969.41</v>
      </c>
      <c r="P58" s="9" t="n">
        <f aca="false">O58-N58</f>
        <v>0</v>
      </c>
      <c r="Q58" s="9" t="n">
        <f aca="false">ROUND(N58*M58,2)</f>
        <v>174.49</v>
      </c>
      <c r="R58" s="9" t="n">
        <f aca="false">N58+Q58</f>
        <v>1143.9</v>
      </c>
      <c r="S58" s="10"/>
    </row>
    <row r="59" customFormat="false" ht="15" hidden="false" customHeight="false" outlineLevel="0" collapsed="false">
      <c r="A59" s="4" t="n">
        <v>55</v>
      </c>
      <c r="B59" s="5" t="s">
        <v>121</v>
      </c>
      <c r="C59" s="5" t="s">
        <v>155</v>
      </c>
      <c r="D59" s="5" t="s">
        <v>156</v>
      </c>
      <c r="E59" s="6" t="s">
        <v>34</v>
      </c>
      <c r="F59" s="7" t="n">
        <v>1215</v>
      </c>
      <c r="G59" s="8" t="n">
        <v>0.38</v>
      </c>
      <c r="H59" s="8" t="n">
        <v>0</v>
      </c>
      <c r="I59" s="7" t="n">
        <v>753.3</v>
      </c>
      <c r="J59" s="9" t="n">
        <f aca="false">F59*(1-G59)*(1-H59)</f>
        <v>753.3</v>
      </c>
      <c r="K59" s="4" t="n">
        <v>2</v>
      </c>
      <c r="L59" s="9" t="n">
        <f aca="false">J59*K59</f>
        <v>1506.6</v>
      </c>
      <c r="M59" s="8" t="n">
        <v>0.18</v>
      </c>
      <c r="N59" s="7" t="n">
        <v>1276.78</v>
      </c>
      <c r="O59" s="9" t="n">
        <f aca="false">ROUND(L59/(1+M59),2)</f>
        <v>1276.78</v>
      </c>
      <c r="P59" s="9" t="n">
        <f aca="false">O59-N59</f>
        <v>0</v>
      </c>
      <c r="Q59" s="9" t="n">
        <f aca="false">ROUND(N59*M59,2)</f>
        <v>229.82</v>
      </c>
      <c r="R59" s="9" t="n">
        <f aca="false">N59+Q59</f>
        <v>1506.6</v>
      </c>
      <c r="S59" s="10"/>
    </row>
    <row r="60" customFormat="false" ht="15" hidden="false" customHeight="false" outlineLevel="0" collapsed="false">
      <c r="A60" s="4" t="n">
        <v>56</v>
      </c>
      <c r="B60" s="5" t="s">
        <v>121</v>
      </c>
      <c r="C60" s="5" t="s">
        <v>157</v>
      </c>
      <c r="D60" s="5" t="s">
        <v>158</v>
      </c>
      <c r="E60" s="6" t="s">
        <v>34</v>
      </c>
      <c r="F60" s="7" t="n">
        <v>1360</v>
      </c>
      <c r="G60" s="8" t="n">
        <v>0.38</v>
      </c>
      <c r="H60" s="8" t="n">
        <v>0</v>
      </c>
      <c r="I60" s="7" t="n">
        <v>843.2</v>
      </c>
      <c r="J60" s="9" t="n">
        <f aca="false">F60*(1-G60)*(1-H60)</f>
        <v>843.2</v>
      </c>
      <c r="K60" s="4" t="n">
        <v>2</v>
      </c>
      <c r="L60" s="9" t="n">
        <f aca="false">J60*K60</f>
        <v>1686.4</v>
      </c>
      <c r="M60" s="8" t="n">
        <v>0.18</v>
      </c>
      <c r="N60" s="7" t="n">
        <v>1429.15</v>
      </c>
      <c r="O60" s="9" t="n">
        <f aca="false">ROUND(L60/(1+M60),2)</f>
        <v>1429.15</v>
      </c>
      <c r="P60" s="9" t="n">
        <f aca="false">O60-N60</f>
        <v>0</v>
      </c>
      <c r="Q60" s="9" t="n">
        <f aca="false">ROUND(N60*M60,2)</f>
        <v>257.25</v>
      </c>
      <c r="R60" s="9" t="n">
        <f aca="false">N60+Q60</f>
        <v>1686.4</v>
      </c>
      <c r="S60" s="10"/>
    </row>
    <row r="61" customFormat="false" ht="15" hidden="false" customHeight="false" outlineLevel="0" collapsed="false">
      <c r="A61" s="4" t="n">
        <v>57</v>
      </c>
      <c r="B61" s="5" t="s">
        <v>121</v>
      </c>
      <c r="C61" s="5" t="s">
        <v>159</v>
      </c>
      <c r="D61" s="5" t="s">
        <v>160</v>
      </c>
      <c r="E61" s="6" t="s">
        <v>34</v>
      </c>
      <c r="F61" s="7" t="n">
        <v>1035</v>
      </c>
      <c r="G61" s="8" t="n">
        <v>0.38</v>
      </c>
      <c r="H61" s="8" t="n">
        <v>0</v>
      </c>
      <c r="I61" s="7" t="n">
        <v>641.7</v>
      </c>
      <c r="J61" s="9" t="n">
        <f aca="false">F61*(1-G61)*(1-H61)</f>
        <v>641.7</v>
      </c>
      <c r="K61" s="4" t="n">
        <v>2</v>
      </c>
      <c r="L61" s="9" t="n">
        <f aca="false">J61*K61</f>
        <v>1283.4</v>
      </c>
      <c r="M61" s="8" t="n">
        <v>0.18</v>
      </c>
      <c r="N61" s="7" t="n">
        <v>1087.63</v>
      </c>
      <c r="O61" s="9" t="n">
        <f aca="false">ROUND(L61/(1+M61),2)</f>
        <v>1087.63</v>
      </c>
      <c r="P61" s="9" t="n">
        <f aca="false">O61-N61</f>
        <v>0</v>
      </c>
      <c r="Q61" s="9" t="n">
        <f aca="false">ROUND(N61*M61,2)</f>
        <v>195.77</v>
      </c>
      <c r="R61" s="9" t="n">
        <f aca="false">N61+Q61</f>
        <v>1283.4</v>
      </c>
      <c r="S61" s="10"/>
    </row>
    <row r="62" customFormat="false" ht="15" hidden="false" customHeight="false" outlineLevel="0" collapsed="false">
      <c r="A62" s="4" t="n">
        <v>58</v>
      </c>
      <c r="B62" s="5" t="s">
        <v>121</v>
      </c>
      <c r="C62" s="5" t="s">
        <v>161</v>
      </c>
      <c r="D62" s="5" t="s">
        <v>162</v>
      </c>
      <c r="E62" s="6" t="s">
        <v>34</v>
      </c>
      <c r="F62" s="7" t="n">
        <v>1030</v>
      </c>
      <c r="G62" s="8" t="n">
        <v>0.38</v>
      </c>
      <c r="H62" s="8" t="n">
        <v>0</v>
      </c>
      <c r="I62" s="7" t="n">
        <v>638.6</v>
      </c>
      <c r="J62" s="9" t="n">
        <f aca="false">F62*(1-G62)*(1-H62)</f>
        <v>638.6</v>
      </c>
      <c r="K62" s="4" t="n">
        <v>8</v>
      </c>
      <c r="L62" s="9" t="n">
        <f aca="false">J62*K62</f>
        <v>5108.8</v>
      </c>
      <c r="M62" s="8" t="n">
        <v>0.18</v>
      </c>
      <c r="N62" s="7" t="n">
        <v>4329.49</v>
      </c>
      <c r="O62" s="9" t="n">
        <f aca="false">ROUND(L62/(1+M62),2)</f>
        <v>4329.49</v>
      </c>
      <c r="P62" s="9" t="n">
        <f aca="false">O62-N62</f>
        <v>0</v>
      </c>
      <c r="Q62" s="9" t="n">
        <f aca="false">ROUND(N62*M62,2)</f>
        <v>779.31</v>
      </c>
      <c r="R62" s="9" t="n">
        <f aca="false">N62+Q62</f>
        <v>5108.8</v>
      </c>
      <c r="S62" s="10" t="s">
        <v>109</v>
      </c>
    </row>
    <row r="63" customFormat="false" ht="15" hidden="false" customHeight="false" outlineLevel="0" collapsed="false">
      <c r="A63" s="4" t="n">
        <v>59</v>
      </c>
      <c r="B63" s="5" t="s">
        <v>121</v>
      </c>
      <c r="C63" s="5" t="s">
        <v>163</v>
      </c>
      <c r="D63" s="5" t="s">
        <v>164</v>
      </c>
      <c r="E63" s="6" t="s">
        <v>34</v>
      </c>
      <c r="F63" s="7" t="n">
        <v>180</v>
      </c>
      <c r="G63" s="8" t="n">
        <v>0.38</v>
      </c>
      <c r="H63" s="8" t="n">
        <v>0</v>
      </c>
      <c r="I63" s="7" t="n">
        <v>111.6</v>
      </c>
      <c r="J63" s="9" t="n">
        <f aca="false">F63*(1-G63)*(1-H63)</f>
        <v>111.6</v>
      </c>
      <c r="K63" s="4" t="n">
        <v>5</v>
      </c>
      <c r="L63" s="9" t="n">
        <f aca="false">J63*K63</f>
        <v>558</v>
      </c>
      <c r="M63" s="8" t="n">
        <v>0.18</v>
      </c>
      <c r="N63" s="7" t="n">
        <v>472.88</v>
      </c>
      <c r="O63" s="9" t="n">
        <f aca="false">ROUND(L63/(1+M63),2)</f>
        <v>472.88</v>
      </c>
      <c r="P63" s="9" t="n">
        <f aca="false">O63-N63</f>
        <v>0</v>
      </c>
      <c r="Q63" s="9" t="n">
        <f aca="false">ROUND(N63*M63,2)</f>
        <v>85.12</v>
      </c>
      <c r="R63" s="9" t="n">
        <f aca="false">N63+Q63</f>
        <v>558</v>
      </c>
      <c r="S63" s="10"/>
    </row>
    <row r="64" customFormat="false" ht="15" hidden="false" customHeight="false" outlineLevel="0" collapsed="false">
      <c r="A64" s="4" t="n">
        <v>60</v>
      </c>
      <c r="B64" s="5" t="s">
        <v>121</v>
      </c>
      <c r="C64" s="5" t="s">
        <v>165</v>
      </c>
      <c r="D64" s="5" t="s">
        <v>166</v>
      </c>
      <c r="E64" s="6" t="s">
        <v>34</v>
      </c>
      <c r="F64" s="7" t="n">
        <v>180</v>
      </c>
      <c r="G64" s="8" t="n">
        <v>0.38</v>
      </c>
      <c r="H64" s="8" t="n">
        <v>0</v>
      </c>
      <c r="I64" s="7" t="n">
        <v>111.6</v>
      </c>
      <c r="J64" s="9" t="n">
        <f aca="false">F64*(1-G64)*(1-H64)</f>
        <v>111.6</v>
      </c>
      <c r="K64" s="4" t="n">
        <v>10</v>
      </c>
      <c r="L64" s="9" t="n">
        <f aca="false">J64*K64</f>
        <v>1116</v>
      </c>
      <c r="M64" s="8" t="n">
        <v>0.18</v>
      </c>
      <c r="N64" s="7" t="n">
        <v>945.76</v>
      </c>
      <c r="O64" s="9" t="n">
        <f aca="false">ROUND(L64/(1+M64),2)</f>
        <v>945.76</v>
      </c>
      <c r="P64" s="9" t="n">
        <f aca="false">O64-N64</f>
        <v>0</v>
      </c>
      <c r="Q64" s="9" t="n">
        <f aca="false">ROUND(N64*M64,2)</f>
        <v>170.24</v>
      </c>
      <c r="R64" s="9" t="n">
        <f aca="false">N64+Q64</f>
        <v>1116</v>
      </c>
      <c r="S64" s="10"/>
    </row>
    <row r="65" customFormat="false" ht="15" hidden="false" customHeight="false" outlineLevel="0" collapsed="false">
      <c r="A65" s="4" t="n">
        <v>61</v>
      </c>
      <c r="B65" s="5" t="s">
        <v>121</v>
      </c>
      <c r="C65" s="5" t="s">
        <v>167</v>
      </c>
      <c r="D65" s="5" t="s">
        <v>168</v>
      </c>
      <c r="E65" s="6" t="s">
        <v>34</v>
      </c>
      <c r="F65" s="7" t="n">
        <v>180</v>
      </c>
      <c r="G65" s="8" t="n">
        <v>0.38</v>
      </c>
      <c r="H65" s="8" t="n">
        <v>0</v>
      </c>
      <c r="I65" s="7" t="n">
        <v>111.6</v>
      </c>
      <c r="J65" s="9" t="n">
        <f aca="false">F65*(1-G65)*(1-H65)</f>
        <v>111.6</v>
      </c>
      <c r="K65" s="4" t="n">
        <v>5</v>
      </c>
      <c r="L65" s="9" t="n">
        <f aca="false">J65*K65</f>
        <v>558</v>
      </c>
      <c r="M65" s="8" t="n">
        <v>0.18</v>
      </c>
      <c r="N65" s="7" t="n">
        <v>472.88</v>
      </c>
      <c r="O65" s="9" t="n">
        <f aca="false">ROUND(L65/(1+M65),2)</f>
        <v>472.88</v>
      </c>
      <c r="P65" s="9" t="n">
        <f aca="false">O65-N65</f>
        <v>0</v>
      </c>
      <c r="Q65" s="9" t="n">
        <f aca="false">ROUND(N65*M65,2)</f>
        <v>85.12</v>
      </c>
      <c r="R65" s="9" t="n">
        <f aca="false">N65+Q65</f>
        <v>558</v>
      </c>
      <c r="S65" s="10"/>
    </row>
    <row r="66" customFormat="false" ht="15" hidden="false" customHeight="false" outlineLevel="0" collapsed="false">
      <c r="A66" s="4" t="n">
        <v>62</v>
      </c>
      <c r="B66" s="5" t="s">
        <v>121</v>
      </c>
      <c r="C66" s="5" t="s">
        <v>169</v>
      </c>
      <c r="D66" s="5" t="s">
        <v>170</v>
      </c>
      <c r="E66" s="6" t="s">
        <v>34</v>
      </c>
      <c r="F66" s="7" t="n">
        <v>180</v>
      </c>
      <c r="G66" s="8" t="n">
        <v>0.38</v>
      </c>
      <c r="H66" s="8" t="n">
        <v>0</v>
      </c>
      <c r="I66" s="7" t="n">
        <v>111.6</v>
      </c>
      <c r="J66" s="9" t="n">
        <f aca="false">F66*(1-G66)*(1-H66)</f>
        <v>111.6</v>
      </c>
      <c r="K66" s="4" t="n">
        <v>10</v>
      </c>
      <c r="L66" s="9" t="n">
        <f aca="false">J66*K66</f>
        <v>1116</v>
      </c>
      <c r="M66" s="8" t="n">
        <v>0.18</v>
      </c>
      <c r="N66" s="7" t="n">
        <v>945.76</v>
      </c>
      <c r="O66" s="9" t="n">
        <f aca="false">ROUND(L66/(1+M66),2)</f>
        <v>945.76</v>
      </c>
      <c r="P66" s="9" t="n">
        <f aca="false">O66-N66</f>
        <v>0</v>
      </c>
      <c r="Q66" s="9" t="n">
        <f aca="false">ROUND(N66*M66,2)</f>
        <v>170.24</v>
      </c>
      <c r="R66" s="9" t="n">
        <f aca="false">N66+Q66</f>
        <v>1116</v>
      </c>
      <c r="S66" s="10"/>
    </row>
    <row r="67" customFormat="false" ht="15" hidden="false" customHeight="false" outlineLevel="0" collapsed="false">
      <c r="A67" s="4" t="n">
        <v>63</v>
      </c>
      <c r="B67" s="5" t="s">
        <v>121</v>
      </c>
      <c r="C67" s="5" t="s">
        <v>171</v>
      </c>
      <c r="D67" s="5" t="s">
        <v>172</v>
      </c>
      <c r="E67" s="6" t="s">
        <v>34</v>
      </c>
      <c r="F67" s="7" t="n">
        <v>540</v>
      </c>
      <c r="G67" s="8" t="n">
        <v>0.38</v>
      </c>
      <c r="H67" s="8" t="n">
        <v>0</v>
      </c>
      <c r="I67" s="7" t="n">
        <v>334.8</v>
      </c>
      <c r="J67" s="9" t="n">
        <f aca="false">F67*(1-G67)*(1-H67)</f>
        <v>334.8</v>
      </c>
      <c r="K67" s="4" t="n">
        <v>3</v>
      </c>
      <c r="L67" s="9" t="n">
        <f aca="false">J67*K67</f>
        <v>1004.4</v>
      </c>
      <c r="M67" s="8" t="n">
        <v>0.18</v>
      </c>
      <c r="N67" s="7" t="n">
        <v>851.19</v>
      </c>
      <c r="O67" s="9" t="n">
        <f aca="false">ROUND(L67/(1+M67),2)</f>
        <v>851.19</v>
      </c>
      <c r="P67" s="9" t="n">
        <f aca="false">O67-N67</f>
        <v>0</v>
      </c>
      <c r="Q67" s="9" t="n">
        <f aca="false">ROUND(N67*M67,2)</f>
        <v>153.21</v>
      </c>
      <c r="R67" s="9" t="n">
        <f aca="false">N67+Q67</f>
        <v>1004.4</v>
      </c>
      <c r="S67" s="10"/>
    </row>
    <row r="68" customFormat="false" ht="15" hidden="false" customHeight="false" outlineLevel="0" collapsed="false">
      <c r="A68" s="4" t="n">
        <v>64</v>
      </c>
      <c r="B68" s="5" t="s">
        <v>121</v>
      </c>
      <c r="C68" s="5" t="s">
        <v>173</v>
      </c>
      <c r="D68" s="5" t="s">
        <v>174</v>
      </c>
      <c r="E68" s="6" t="s">
        <v>34</v>
      </c>
      <c r="F68" s="7" t="n">
        <v>745</v>
      </c>
      <c r="G68" s="8" t="n">
        <v>0.38</v>
      </c>
      <c r="H68" s="8" t="n">
        <v>0</v>
      </c>
      <c r="I68" s="7" t="n">
        <v>461.9</v>
      </c>
      <c r="J68" s="9" t="n">
        <f aca="false">F68*(1-G68)*(1-H68)</f>
        <v>461.9</v>
      </c>
      <c r="K68" s="4" t="n">
        <v>8</v>
      </c>
      <c r="L68" s="9" t="n">
        <f aca="false">J68*K68</f>
        <v>3695.2</v>
      </c>
      <c r="M68" s="8" t="n">
        <v>0.18</v>
      </c>
      <c r="N68" s="7" t="n">
        <v>3131.53</v>
      </c>
      <c r="O68" s="9" t="n">
        <f aca="false">ROUND(L68/(1+M68),2)</f>
        <v>3131.53</v>
      </c>
      <c r="P68" s="9" t="n">
        <f aca="false">O68-N68</f>
        <v>0</v>
      </c>
      <c r="Q68" s="9" t="n">
        <f aca="false">ROUND(N68*M68,2)</f>
        <v>563.68</v>
      </c>
      <c r="R68" s="9" t="n">
        <f aca="false">N68+Q68</f>
        <v>3695.21</v>
      </c>
      <c r="S68" s="10"/>
    </row>
    <row r="69" customFormat="false" ht="15" hidden="false" customHeight="false" outlineLevel="0" collapsed="false">
      <c r="A69" s="4" t="n">
        <v>65</v>
      </c>
      <c r="B69" s="5" t="s">
        <v>121</v>
      </c>
      <c r="C69" s="5" t="s">
        <v>175</v>
      </c>
      <c r="D69" s="5" t="s">
        <v>176</v>
      </c>
      <c r="E69" s="6" t="s">
        <v>34</v>
      </c>
      <c r="F69" s="7" t="n">
        <v>830</v>
      </c>
      <c r="G69" s="8" t="n">
        <v>0.38</v>
      </c>
      <c r="H69" s="8" t="n">
        <v>0</v>
      </c>
      <c r="I69" s="7" t="n">
        <v>514.6</v>
      </c>
      <c r="J69" s="9" t="n">
        <f aca="false">F69*(1-G69)*(1-H69)</f>
        <v>514.6</v>
      </c>
      <c r="K69" s="4" t="n">
        <v>3</v>
      </c>
      <c r="L69" s="9" t="n">
        <f aca="false">J69*K69</f>
        <v>1543.8</v>
      </c>
      <c r="M69" s="8" t="n">
        <v>0.18</v>
      </c>
      <c r="N69" s="7" t="n">
        <v>1308.31</v>
      </c>
      <c r="O69" s="9" t="n">
        <f aca="false">ROUND(L69/(1+M69),2)</f>
        <v>1308.31</v>
      </c>
      <c r="P69" s="9" t="n">
        <f aca="false">O69-N69</f>
        <v>0</v>
      </c>
      <c r="Q69" s="9" t="n">
        <f aca="false">ROUND(N69*M69,2)</f>
        <v>235.5</v>
      </c>
      <c r="R69" s="9" t="n">
        <f aca="false">N69+Q69</f>
        <v>1543.81</v>
      </c>
      <c r="S69" s="10" t="s">
        <v>134</v>
      </c>
    </row>
    <row r="70" customFormat="false" ht="15" hidden="false" customHeight="false" outlineLevel="0" collapsed="false">
      <c r="A70" s="4" t="n">
        <v>66</v>
      </c>
      <c r="B70" s="5" t="s">
        <v>121</v>
      </c>
      <c r="C70" s="5" t="s">
        <v>177</v>
      </c>
      <c r="D70" s="5" t="s">
        <v>178</v>
      </c>
      <c r="E70" s="6" t="s">
        <v>34</v>
      </c>
      <c r="F70" s="7" t="n">
        <v>545</v>
      </c>
      <c r="G70" s="8" t="n">
        <v>0.38</v>
      </c>
      <c r="H70" s="8" t="n">
        <v>0</v>
      </c>
      <c r="I70" s="7" t="n">
        <v>337.9</v>
      </c>
      <c r="J70" s="9" t="n">
        <f aca="false">F70*(1-G70)*(1-H70)</f>
        <v>337.9</v>
      </c>
      <c r="K70" s="4" t="n">
        <v>3</v>
      </c>
      <c r="L70" s="9" t="n">
        <f aca="false">J70*K70</f>
        <v>1013.7</v>
      </c>
      <c r="M70" s="8" t="n">
        <v>0.18</v>
      </c>
      <c r="N70" s="7" t="n">
        <v>859.07</v>
      </c>
      <c r="O70" s="9" t="n">
        <f aca="false">ROUND(L70/(1+M70),2)</f>
        <v>859.07</v>
      </c>
      <c r="P70" s="9" t="n">
        <f aca="false">O70-N70</f>
        <v>0</v>
      </c>
      <c r="Q70" s="9" t="n">
        <f aca="false">ROUND(N70*M70,2)</f>
        <v>154.63</v>
      </c>
      <c r="R70" s="9" t="n">
        <f aca="false">N70+Q70</f>
        <v>1013.7</v>
      </c>
      <c r="S70" s="10"/>
    </row>
    <row r="71" customFormat="false" ht="15" hidden="false" customHeight="false" outlineLevel="0" collapsed="false">
      <c r="A71" s="4" t="n">
        <v>67</v>
      </c>
      <c r="B71" s="5" t="s">
        <v>121</v>
      </c>
      <c r="C71" s="5" t="s">
        <v>179</v>
      </c>
      <c r="D71" s="5" t="s">
        <v>180</v>
      </c>
      <c r="E71" s="6" t="s">
        <v>34</v>
      </c>
      <c r="F71" s="7" t="n">
        <v>545</v>
      </c>
      <c r="G71" s="8" t="n">
        <v>0.38</v>
      </c>
      <c r="H71" s="8" t="n">
        <v>0</v>
      </c>
      <c r="I71" s="7" t="n">
        <v>337.9</v>
      </c>
      <c r="J71" s="9" t="n">
        <f aca="false">F71*(1-G71)*(1-H71)</f>
        <v>337.9</v>
      </c>
      <c r="K71" s="4" t="n">
        <v>3</v>
      </c>
      <c r="L71" s="9" t="n">
        <f aca="false">J71*K71</f>
        <v>1013.7</v>
      </c>
      <c r="M71" s="8" t="n">
        <v>0.18</v>
      </c>
      <c r="N71" s="7" t="n">
        <v>859.07</v>
      </c>
      <c r="O71" s="9" t="n">
        <f aca="false">ROUND(L71/(1+M71),2)</f>
        <v>859.07</v>
      </c>
      <c r="P71" s="9" t="n">
        <f aca="false">O71-N71</f>
        <v>0</v>
      </c>
      <c r="Q71" s="9" t="n">
        <f aca="false">ROUND(N71*M71,2)</f>
        <v>154.63</v>
      </c>
      <c r="R71" s="9" t="n">
        <f aca="false">N71+Q71</f>
        <v>1013.7</v>
      </c>
      <c r="S71" s="10" t="s">
        <v>109</v>
      </c>
    </row>
    <row r="72" customFormat="false" ht="15" hidden="false" customHeight="false" outlineLevel="0" collapsed="false">
      <c r="A72" s="11" t="n">
        <v>68</v>
      </c>
      <c r="B72" s="12" t="s">
        <v>181</v>
      </c>
      <c r="C72" s="12" t="s">
        <v>182</v>
      </c>
      <c r="D72" s="12" t="s">
        <v>183</v>
      </c>
      <c r="E72" s="13" t="s">
        <v>184</v>
      </c>
      <c r="F72" s="14" t="n">
        <v>110</v>
      </c>
      <c r="G72" s="15" t="n">
        <v>0.42</v>
      </c>
      <c r="H72" s="15" t="n">
        <v>0</v>
      </c>
      <c r="I72" s="14" t="n">
        <v>63.8</v>
      </c>
      <c r="J72" s="16" t="n">
        <f aca="false">F72*(1-G72)*(1-H72)</f>
        <v>63.8</v>
      </c>
      <c r="K72" s="11" t="n">
        <v>10</v>
      </c>
      <c r="L72" s="16" t="n">
        <f aca="false">J72*K72</f>
        <v>638</v>
      </c>
      <c r="M72" s="15" t="n">
        <v>0.18</v>
      </c>
      <c r="N72" s="14" t="n">
        <v>540.68</v>
      </c>
      <c r="O72" s="16" t="n">
        <f aca="false">ROUND(L72/(1+M72),2)</f>
        <v>540.68</v>
      </c>
      <c r="P72" s="16" t="n">
        <f aca="false">O72-N72</f>
        <v>0</v>
      </c>
      <c r="Q72" s="16" t="n">
        <f aca="false">ROUND(N72*M72,2)</f>
        <v>97.32</v>
      </c>
      <c r="R72" s="16" t="n">
        <f aca="false">N72+Q72</f>
        <v>638</v>
      </c>
      <c r="S72" s="17"/>
    </row>
    <row r="73" customFormat="false" ht="15" hidden="false" customHeight="false" outlineLevel="0" collapsed="false">
      <c r="A73" s="4" t="n">
        <v>69</v>
      </c>
      <c r="B73" s="5" t="s">
        <v>181</v>
      </c>
      <c r="C73" s="5" t="s">
        <v>185</v>
      </c>
      <c r="D73" s="5" t="s">
        <v>186</v>
      </c>
      <c r="E73" s="6" t="s">
        <v>184</v>
      </c>
      <c r="F73" s="7" t="n">
        <v>6</v>
      </c>
      <c r="G73" s="8" t="n">
        <v>0.42</v>
      </c>
      <c r="H73" s="8" t="n">
        <v>0</v>
      </c>
      <c r="I73" s="7" t="n">
        <v>3.48</v>
      </c>
      <c r="J73" s="9" t="n">
        <f aca="false">F73*(1-G73)*(1-H73)</f>
        <v>3.48</v>
      </c>
      <c r="K73" s="4" t="n">
        <v>25</v>
      </c>
      <c r="L73" s="9" t="n">
        <f aca="false">J73*K73</f>
        <v>87</v>
      </c>
      <c r="M73" s="8" t="n">
        <v>0.18</v>
      </c>
      <c r="N73" s="7" t="n">
        <v>73.73</v>
      </c>
      <c r="O73" s="9" t="n">
        <f aca="false">ROUND(L73/(1+M73),2)</f>
        <v>73.73</v>
      </c>
      <c r="P73" s="9" t="n">
        <f aca="false">O73-N73</f>
        <v>0</v>
      </c>
      <c r="Q73" s="9" t="n">
        <f aca="false">ROUND(N73*M73,2)</f>
        <v>13.27</v>
      </c>
      <c r="R73" s="9" t="n">
        <f aca="false">N73+Q73</f>
        <v>87</v>
      </c>
      <c r="S73" s="10"/>
    </row>
    <row r="74" customFormat="false" ht="15" hidden="false" customHeight="false" outlineLevel="0" collapsed="false">
      <c r="A74" s="11" t="n">
        <v>70</v>
      </c>
      <c r="B74" s="12" t="s">
        <v>187</v>
      </c>
      <c r="C74" s="12" t="s">
        <v>188</v>
      </c>
      <c r="D74" s="12" t="s">
        <v>189</v>
      </c>
      <c r="E74" s="13" t="s">
        <v>34</v>
      </c>
      <c r="F74" s="14" t="n">
        <v>240</v>
      </c>
      <c r="G74" s="15" t="n">
        <v>0</v>
      </c>
      <c r="H74" s="15" t="n">
        <v>0</v>
      </c>
      <c r="I74" s="14" t="n">
        <v>240</v>
      </c>
      <c r="J74" s="16" t="n">
        <f aca="false">F74*(1-G74)*(1-H74)</f>
        <v>240</v>
      </c>
      <c r="K74" s="11" t="n">
        <v>10</v>
      </c>
      <c r="L74" s="16" t="n">
        <f aca="false">J74*K74</f>
        <v>2400</v>
      </c>
      <c r="M74" s="15" t="n">
        <v>0.18</v>
      </c>
      <c r="N74" s="14" t="n">
        <v>2033.9</v>
      </c>
      <c r="O74" s="16" t="n">
        <f aca="false">ROUND(L74/(1+M74),2)</f>
        <v>2033.9</v>
      </c>
      <c r="P74" s="16" t="n">
        <f aca="false">O74-N74</f>
        <v>0</v>
      </c>
      <c r="Q74" s="16" t="n">
        <f aca="false">ROUND(N74*M74,2)</f>
        <v>366.1</v>
      </c>
      <c r="R74" s="16" t="n">
        <f aca="false">N74+Q74</f>
        <v>2400</v>
      </c>
      <c r="S74" s="17"/>
    </row>
    <row r="75" customFormat="false" ht="15" hidden="false" customHeight="false" outlineLevel="0" collapsed="false">
      <c r="A75" s="11" t="n">
        <v>71</v>
      </c>
      <c r="B75" s="12" t="s">
        <v>190</v>
      </c>
      <c r="C75" s="12" t="s">
        <v>191</v>
      </c>
      <c r="D75" s="12" t="s">
        <v>192</v>
      </c>
      <c r="E75" s="13" t="s">
        <v>48</v>
      </c>
      <c r="F75" s="14" t="n">
        <v>30</v>
      </c>
      <c r="G75" s="15" t="n">
        <v>0.45</v>
      </c>
      <c r="H75" s="15" t="n">
        <v>0</v>
      </c>
      <c r="I75" s="14" t="n">
        <v>16.5</v>
      </c>
      <c r="J75" s="16" t="n">
        <f aca="false">F75*(1-G75)*(1-H75)</f>
        <v>16.5</v>
      </c>
      <c r="K75" s="11" t="n">
        <v>10</v>
      </c>
      <c r="L75" s="16" t="n">
        <f aca="false">J75*K75</f>
        <v>165</v>
      </c>
      <c r="M75" s="15" t="n">
        <v>0.18</v>
      </c>
      <c r="N75" s="14" t="n">
        <v>139.83</v>
      </c>
      <c r="O75" s="16" t="n">
        <f aca="false">ROUND(L75/(1+M75),2)</f>
        <v>139.83</v>
      </c>
      <c r="P75" s="16" t="n">
        <f aca="false">O75-N75</f>
        <v>0</v>
      </c>
      <c r="Q75" s="16" t="n">
        <f aca="false">ROUND(N75*M75,2)</f>
        <v>25.17</v>
      </c>
      <c r="R75" s="16" t="n">
        <f aca="false">N75+Q75</f>
        <v>165</v>
      </c>
      <c r="S75" s="17"/>
    </row>
    <row r="76" customFormat="false" ht="15" hidden="false" customHeight="false" outlineLevel="0" collapsed="false">
      <c r="A76" s="4" t="n">
        <v>72</v>
      </c>
      <c r="B76" s="5" t="s">
        <v>190</v>
      </c>
      <c r="C76" s="5" t="s">
        <v>193</v>
      </c>
      <c r="D76" s="5" t="s">
        <v>194</v>
      </c>
      <c r="E76" s="6" t="s">
        <v>34</v>
      </c>
      <c r="F76" s="7" t="n">
        <v>105</v>
      </c>
      <c r="G76" s="8" t="n">
        <v>0.45</v>
      </c>
      <c r="H76" s="8" t="n">
        <v>0</v>
      </c>
      <c r="I76" s="7" t="n">
        <v>57.75</v>
      </c>
      <c r="J76" s="9" t="n">
        <f aca="false">F76*(1-G76)*(1-H76)</f>
        <v>57.75</v>
      </c>
      <c r="K76" s="4" t="n">
        <v>20</v>
      </c>
      <c r="L76" s="9" t="n">
        <f aca="false">J76*K76</f>
        <v>1155</v>
      </c>
      <c r="M76" s="8" t="n">
        <v>0.18</v>
      </c>
      <c r="N76" s="7" t="n">
        <v>978.81</v>
      </c>
      <c r="O76" s="9" t="n">
        <f aca="false">ROUND(L76/(1+M76),2)</f>
        <v>978.81</v>
      </c>
      <c r="P76" s="9" t="n">
        <f aca="false">O76-N76</f>
        <v>0</v>
      </c>
      <c r="Q76" s="9" t="n">
        <f aca="false">ROUND(N76*M76,2)</f>
        <v>176.19</v>
      </c>
      <c r="R76" s="9" t="n">
        <f aca="false">N76+Q76</f>
        <v>1155</v>
      </c>
      <c r="S76" s="10"/>
    </row>
    <row r="77" customFormat="false" ht="15" hidden="false" customHeight="false" outlineLevel="0" collapsed="false">
      <c r="A77" s="4" t="n">
        <v>73</v>
      </c>
      <c r="B77" s="5" t="s">
        <v>190</v>
      </c>
      <c r="C77" s="5" t="s">
        <v>195</v>
      </c>
      <c r="D77" s="5" t="s">
        <v>196</v>
      </c>
      <c r="E77" s="6" t="s">
        <v>48</v>
      </c>
      <c r="F77" s="7" t="n">
        <v>105</v>
      </c>
      <c r="G77" s="8" t="n">
        <v>0.45</v>
      </c>
      <c r="H77" s="8" t="n">
        <v>0</v>
      </c>
      <c r="I77" s="7" t="n">
        <v>57.75</v>
      </c>
      <c r="J77" s="9" t="n">
        <f aca="false">F77*(1-G77)*(1-H77)</f>
        <v>57.75</v>
      </c>
      <c r="K77" s="4" t="n">
        <v>20</v>
      </c>
      <c r="L77" s="9" t="n">
        <f aca="false">J77*K77</f>
        <v>1155</v>
      </c>
      <c r="M77" s="8" t="n">
        <v>0.18</v>
      </c>
      <c r="N77" s="7" t="n">
        <v>978.81</v>
      </c>
      <c r="O77" s="9" t="n">
        <f aca="false">ROUND(L77/(1+M77),2)</f>
        <v>978.81</v>
      </c>
      <c r="P77" s="9" t="n">
        <f aca="false">O77-N77</f>
        <v>0</v>
      </c>
      <c r="Q77" s="9" t="n">
        <f aca="false">ROUND(N77*M77,2)</f>
        <v>176.19</v>
      </c>
      <c r="R77" s="9" t="n">
        <f aca="false">N77+Q77</f>
        <v>1155</v>
      </c>
      <c r="S77" s="10"/>
    </row>
    <row r="78" customFormat="false" ht="15" hidden="false" customHeight="false" outlineLevel="0" collapsed="false">
      <c r="A78" s="4" t="n">
        <v>74</v>
      </c>
      <c r="B78" s="5" t="s">
        <v>190</v>
      </c>
      <c r="C78" s="5" t="s">
        <v>197</v>
      </c>
      <c r="D78" s="5" t="s">
        <v>198</v>
      </c>
      <c r="E78" s="6" t="s">
        <v>48</v>
      </c>
      <c r="F78" s="7" t="n">
        <v>100</v>
      </c>
      <c r="G78" s="8" t="n">
        <v>0.45</v>
      </c>
      <c r="H78" s="8" t="n">
        <v>0</v>
      </c>
      <c r="I78" s="7" t="n">
        <v>55</v>
      </c>
      <c r="J78" s="9" t="n">
        <f aca="false">F78*(1-G78)*(1-H78)</f>
        <v>55</v>
      </c>
      <c r="K78" s="4" t="n">
        <v>10</v>
      </c>
      <c r="L78" s="9" t="n">
        <f aca="false">J78*K78</f>
        <v>550</v>
      </c>
      <c r="M78" s="8" t="n">
        <v>0.18</v>
      </c>
      <c r="N78" s="7" t="n">
        <v>466.1</v>
      </c>
      <c r="O78" s="9" t="n">
        <f aca="false">ROUND(L78/(1+M78),2)</f>
        <v>466.1</v>
      </c>
      <c r="P78" s="9" t="n">
        <f aca="false">O78-N78</f>
        <v>0</v>
      </c>
      <c r="Q78" s="9" t="n">
        <f aca="false">ROUND(N78*M78,2)</f>
        <v>83.9</v>
      </c>
      <c r="R78" s="9" t="n">
        <f aca="false">N78+Q78</f>
        <v>550</v>
      </c>
      <c r="S78" s="10"/>
    </row>
    <row r="79" customFormat="false" ht="15" hidden="false" customHeight="false" outlineLevel="0" collapsed="false">
      <c r="A79" s="4" t="n">
        <v>75</v>
      </c>
      <c r="B79" s="5" t="s">
        <v>190</v>
      </c>
      <c r="C79" s="5" t="s">
        <v>199</v>
      </c>
      <c r="D79" s="5" t="s">
        <v>200</v>
      </c>
      <c r="E79" s="6" t="s">
        <v>48</v>
      </c>
      <c r="F79" s="7" t="n">
        <v>100</v>
      </c>
      <c r="G79" s="8" t="n">
        <v>0.45</v>
      </c>
      <c r="H79" s="8" t="n">
        <v>0</v>
      </c>
      <c r="I79" s="7" t="n">
        <v>55</v>
      </c>
      <c r="J79" s="9" t="n">
        <f aca="false">F79*(1-G79)*(1-H79)</f>
        <v>55</v>
      </c>
      <c r="K79" s="4" t="n">
        <v>10</v>
      </c>
      <c r="L79" s="9" t="n">
        <f aca="false">J79*K79</f>
        <v>550</v>
      </c>
      <c r="M79" s="8" t="n">
        <v>0.18</v>
      </c>
      <c r="N79" s="7" t="n">
        <v>466.1</v>
      </c>
      <c r="O79" s="9" t="n">
        <f aca="false">ROUND(L79/(1+M79),2)</f>
        <v>466.1</v>
      </c>
      <c r="P79" s="9" t="n">
        <f aca="false">O79-N79</f>
        <v>0</v>
      </c>
      <c r="Q79" s="9" t="n">
        <f aca="false">ROUND(N79*M79,2)</f>
        <v>83.9</v>
      </c>
      <c r="R79" s="9" t="n">
        <f aca="false">N79+Q79</f>
        <v>550</v>
      </c>
      <c r="S79" s="10"/>
    </row>
    <row r="80" customFormat="false" ht="15" hidden="false" customHeight="false" outlineLevel="0" collapsed="false">
      <c r="A80" s="4" t="n">
        <v>76</v>
      </c>
      <c r="B80" s="5" t="s">
        <v>190</v>
      </c>
      <c r="C80" s="5" t="s">
        <v>201</v>
      </c>
      <c r="D80" s="5" t="s">
        <v>202</v>
      </c>
      <c r="E80" s="6" t="s">
        <v>48</v>
      </c>
      <c r="F80" s="7" t="n">
        <v>80</v>
      </c>
      <c r="G80" s="8" t="n">
        <v>0.45</v>
      </c>
      <c r="H80" s="8" t="n">
        <v>0</v>
      </c>
      <c r="I80" s="7" t="n">
        <v>44</v>
      </c>
      <c r="J80" s="9" t="n">
        <f aca="false">F80*(1-G80)*(1-H80)</f>
        <v>44</v>
      </c>
      <c r="K80" s="4" t="n">
        <v>5</v>
      </c>
      <c r="L80" s="9" t="n">
        <f aca="false">J80*K80</f>
        <v>220</v>
      </c>
      <c r="M80" s="8" t="n">
        <v>0.18</v>
      </c>
      <c r="N80" s="7" t="n">
        <v>186.44</v>
      </c>
      <c r="O80" s="9" t="n">
        <f aca="false">ROUND(L80/(1+M80),2)</f>
        <v>186.44</v>
      </c>
      <c r="P80" s="9" t="n">
        <f aca="false">O80-N80</f>
        <v>0</v>
      </c>
      <c r="Q80" s="9" t="n">
        <f aca="false">ROUND(N80*M80,2)</f>
        <v>33.56</v>
      </c>
      <c r="R80" s="9" t="n">
        <f aca="false">N80+Q80</f>
        <v>220</v>
      </c>
      <c r="S80" s="10"/>
    </row>
    <row r="81" customFormat="false" ht="15" hidden="false" customHeight="false" outlineLevel="0" collapsed="false">
      <c r="A81" s="4" t="n">
        <v>77</v>
      </c>
      <c r="B81" s="5" t="s">
        <v>190</v>
      </c>
      <c r="C81" s="5" t="s">
        <v>203</v>
      </c>
      <c r="D81" s="5" t="s">
        <v>204</v>
      </c>
      <c r="E81" s="6" t="s">
        <v>48</v>
      </c>
      <c r="F81" s="7" t="n">
        <v>595</v>
      </c>
      <c r="G81" s="8" t="n">
        <v>0.45</v>
      </c>
      <c r="H81" s="8" t="n">
        <v>0</v>
      </c>
      <c r="I81" s="7" t="n">
        <v>327.25</v>
      </c>
      <c r="J81" s="9" t="n">
        <f aca="false">F81*(1-G81)*(1-H81)</f>
        <v>327.25</v>
      </c>
      <c r="K81" s="4" t="n">
        <v>2</v>
      </c>
      <c r="L81" s="9" t="n">
        <f aca="false">J81*K81</f>
        <v>654.5</v>
      </c>
      <c r="M81" s="8" t="n">
        <v>0.18</v>
      </c>
      <c r="N81" s="7" t="n">
        <v>554.66</v>
      </c>
      <c r="O81" s="9" t="n">
        <f aca="false">ROUND(L81/(1+M81),2)</f>
        <v>554.66</v>
      </c>
      <c r="P81" s="9" t="n">
        <f aca="false">O81-N81</f>
        <v>0</v>
      </c>
      <c r="Q81" s="9" t="n">
        <f aca="false">ROUND(N81*M81,2)</f>
        <v>99.84</v>
      </c>
      <c r="R81" s="9" t="n">
        <f aca="false">N81+Q81</f>
        <v>654.5</v>
      </c>
      <c r="S81" s="10"/>
    </row>
    <row r="82" customFormat="false" ht="15" hidden="false" customHeight="false" outlineLevel="0" collapsed="false">
      <c r="A82" s="4" t="n">
        <v>78</v>
      </c>
      <c r="B82" s="5" t="s">
        <v>190</v>
      </c>
      <c r="C82" s="5" t="s">
        <v>205</v>
      </c>
      <c r="D82" s="5" t="s">
        <v>206</v>
      </c>
      <c r="E82" s="6" t="s">
        <v>48</v>
      </c>
      <c r="F82" s="7" t="n">
        <v>395</v>
      </c>
      <c r="G82" s="8" t="n">
        <v>0.45</v>
      </c>
      <c r="H82" s="8" t="n">
        <v>0</v>
      </c>
      <c r="I82" s="7" t="n">
        <v>217.25</v>
      </c>
      <c r="J82" s="9" t="n">
        <f aca="false">F82*(1-G82)*(1-H82)</f>
        <v>217.25</v>
      </c>
      <c r="K82" s="4" t="n">
        <v>2</v>
      </c>
      <c r="L82" s="9" t="n">
        <f aca="false">J82*K82</f>
        <v>434.5</v>
      </c>
      <c r="M82" s="8" t="n">
        <v>0.18</v>
      </c>
      <c r="N82" s="7" t="n">
        <v>368.22</v>
      </c>
      <c r="O82" s="9" t="n">
        <f aca="false">ROUND(L82/(1+M82),2)</f>
        <v>368.22</v>
      </c>
      <c r="P82" s="9" t="n">
        <f aca="false">O82-N82</f>
        <v>0</v>
      </c>
      <c r="Q82" s="9" t="n">
        <f aca="false">ROUND(N82*M82,2)</f>
        <v>66.28</v>
      </c>
      <c r="R82" s="9" t="n">
        <f aca="false">N82+Q82</f>
        <v>434.5</v>
      </c>
      <c r="S82" s="10"/>
    </row>
    <row r="83" customFormat="false" ht="15" hidden="false" customHeight="false" outlineLevel="0" collapsed="false">
      <c r="A83" s="4" t="n">
        <v>79</v>
      </c>
      <c r="B83" s="5" t="s">
        <v>190</v>
      </c>
      <c r="C83" s="5" t="s">
        <v>207</v>
      </c>
      <c r="D83" s="5" t="s">
        <v>208</v>
      </c>
      <c r="E83" s="6" t="s">
        <v>48</v>
      </c>
      <c r="F83" s="7" t="n">
        <v>2.9</v>
      </c>
      <c r="G83" s="8" t="n">
        <v>0.45</v>
      </c>
      <c r="H83" s="8" t="n">
        <v>0</v>
      </c>
      <c r="I83" s="7" t="n">
        <v>1.6</v>
      </c>
      <c r="J83" s="9" t="n">
        <f aca="false">F83*(1-G83)*(1-H83)</f>
        <v>1.595</v>
      </c>
      <c r="K83" s="4" t="n">
        <v>100</v>
      </c>
      <c r="L83" s="9" t="n">
        <f aca="false">J83*K83</f>
        <v>159.5</v>
      </c>
      <c r="M83" s="8" t="n">
        <v>0.18</v>
      </c>
      <c r="N83" s="7" t="n">
        <v>135.17</v>
      </c>
      <c r="O83" s="9" t="n">
        <f aca="false">ROUND(L83/(1+M83),2)</f>
        <v>135.17</v>
      </c>
      <c r="P83" s="9" t="n">
        <f aca="false">O83-N83</f>
        <v>0</v>
      </c>
      <c r="Q83" s="9" t="n">
        <f aca="false">ROUND(N83*M83,2)</f>
        <v>24.33</v>
      </c>
      <c r="R83" s="9" t="n">
        <f aca="false">N83+Q83</f>
        <v>159.5</v>
      </c>
      <c r="S83" s="10"/>
    </row>
    <row r="84" customFormat="false" ht="15" hidden="false" customHeight="false" outlineLevel="0" collapsed="false">
      <c r="A84" s="4" t="n">
        <v>80</v>
      </c>
      <c r="B84" s="5" t="s">
        <v>190</v>
      </c>
      <c r="C84" s="5" t="s">
        <v>209</v>
      </c>
      <c r="D84" s="5" t="s">
        <v>210</v>
      </c>
      <c r="E84" s="6" t="s">
        <v>48</v>
      </c>
      <c r="F84" s="7" t="n">
        <v>0.78</v>
      </c>
      <c r="G84" s="8" t="n">
        <v>0.45</v>
      </c>
      <c r="H84" s="8" t="n">
        <v>0</v>
      </c>
      <c r="I84" s="7" t="n">
        <v>0.43</v>
      </c>
      <c r="J84" s="9" t="n">
        <f aca="false">F84*(1-G84)*(1-H84)</f>
        <v>0.429</v>
      </c>
      <c r="K84" s="4" t="n">
        <v>100</v>
      </c>
      <c r="L84" s="9" t="n">
        <f aca="false">J84*K84</f>
        <v>42.9</v>
      </c>
      <c r="M84" s="8" t="n">
        <v>0.18</v>
      </c>
      <c r="N84" s="7" t="n">
        <v>36.36</v>
      </c>
      <c r="O84" s="9" t="n">
        <f aca="false">ROUND(L84/(1+M84),2)</f>
        <v>36.36</v>
      </c>
      <c r="P84" s="9" t="n">
        <f aca="false">O84-N84</f>
        <v>0</v>
      </c>
      <c r="Q84" s="9" t="n">
        <f aca="false">ROUND(N84*M84,2)</f>
        <v>6.54</v>
      </c>
      <c r="R84" s="9" t="n">
        <f aca="false">N84+Q84</f>
        <v>42.9</v>
      </c>
      <c r="S84" s="10"/>
    </row>
    <row r="85" customFormat="false" ht="15" hidden="false" customHeight="false" outlineLevel="0" collapsed="false">
      <c r="A85" s="4" t="n">
        <v>81</v>
      </c>
      <c r="B85" s="5" t="s">
        <v>190</v>
      </c>
      <c r="C85" s="5" t="s">
        <v>211</v>
      </c>
      <c r="D85" s="5" t="s">
        <v>212</v>
      </c>
      <c r="E85" s="6" t="s">
        <v>34</v>
      </c>
      <c r="F85" s="7" t="n">
        <v>25</v>
      </c>
      <c r="G85" s="8" t="n">
        <v>0.45</v>
      </c>
      <c r="H85" s="8" t="n">
        <v>0</v>
      </c>
      <c r="I85" s="7" t="n">
        <v>13.75</v>
      </c>
      <c r="J85" s="9" t="n">
        <f aca="false">F85*(1-G85)*(1-H85)</f>
        <v>13.75</v>
      </c>
      <c r="K85" s="4" t="n">
        <v>20</v>
      </c>
      <c r="L85" s="9" t="n">
        <f aca="false">J85*K85</f>
        <v>275</v>
      </c>
      <c r="M85" s="8" t="n">
        <v>0.18</v>
      </c>
      <c r="N85" s="7" t="n">
        <v>233.05</v>
      </c>
      <c r="O85" s="9" t="n">
        <f aca="false">ROUND(L85/(1+M85),2)</f>
        <v>233.05</v>
      </c>
      <c r="P85" s="9" t="n">
        <f aca="false">O85-N85</f>
        <v>0</v>
      </c>
      <c r="Q85" s="9" t="n">
        <f aca="false">ROUND(N85*M85,2)</f>
        <v>41.95</v>
      </c>
      <c r="R85" s="9" t="n">
        <f aca="false">N85+Q85</f>
        <v>275</v>
      </c>
      <c r="S85" s="10"/>
    </row>
    <row r="86" customFormat="false" ht="15" hidden="false" customHeight="false" outlineLevel="0" collapsed="false">
      <c r="A86" s="4" t="n">
        <v>82</v>
      </c>
      <c r="B86" s="5" t="s">
        <v>190</v>
      </c>
      <c r="C86" s="5" t="s">
        <v>213</v>
      </c>
      <c r="D86" s="5" t="s">
        <v>214</v>
      </c>
      <c r="E86" s="6" t="s">
        <v>48</v>
      </c>
      <c r="F86" s="7" t="n">
        <v>41</v>
      </c>
      <c r="G86" s="8" t="n">
        <v>0.45</v>
      </c>
      <c r="H86" s="8" t="n">
        <v>0</v>
      </c>
      <c r="I86" s="7" t="n">
        <v>22.55</v>
      </c>
      <c r="J86" s="9" t="n">
        <f aca="false">F86*(1-G86)*(1-H86)</f>
        <v>22.55</v>
      </c>
      <c r="K86" s="4" t="n">
        <v>20</v>
      </c>
      <c r="L86" s="9" t="n">
        <f aca="false">J86*K86</f>
        <v>451</v>
      </c>
      <c r="M86" s="8" t="n">
        <v>0.18</v>
      </c>
      <c r="N86" s="7" t="n">
        <v>382.2</v>
      </c>
      <c r="O86" s="9" t="n">
        <f aca="false">ROUND(L86/(1+M86),2)</f>
        <v>382.2</v>
      </c>
      <c r="P86" s="9" t="n">
        <f aca="false">O86-N86</f>
        <v>0</v>
      </c>
      <c r="Q86" s="9" t="n">
        <f aca="false">ROUND(N86*M86,2)</f>
        <v>68.8</v>
      </c>
      <c r="R86" s="9" t="n">
        <f aca="false">N86+Q86</f>
        <v>451</v>
      </c>
      <c r="S86" s="10"/>
    </row>
    <row r="87" customFormat="false" ht="15" hidden="false" customHeight="false" outlineLevel="0" collapsed="false">
      <c r="A87" s="4" t="n">
        <v>83</v>
      </c>
      <c r="B87" s="5" t="s">
        <v>190</v>
      </c>
      <c r="C87" s="5" t="s">
        <v>215</v>
      </c>
      <c r="D87" s="5" t="s">
        <v>216</v>
      </c>
      <c r="E87" s="6" t="s">
        <v>48</v>
      </c>
      <c r="F87" s="7" t="n">
        <v>140</v>
      </c>
      <c r="G87" s="8" t="n">
        <v>0.45</v>
      </c>
      <c r="H87" s="8" t="n">
        <v>0</v>
      </c>
      <c r="I87" s="7" t="n">
        <v>77</v>
      </c>
      <c r="J87" s="9" t="n">
        <f aca="false">F87*(1-G87)*(1-H87)</f>
        <v>77</v>
      </c>
      <c r="K87" s="4" t="n">
        <v>20</v>
      </c>
      <c r="L87" s="9" t="n">
        <f aca="false">J87*K87</f>
        <v>1540</v>
      </c>
      <c r="M87" s="8" t="n">
        <v>0.18</v>
      </c>
      <c r="N87" s="7" t="n">
        <v>1305.08</v>
      </c>
      <c r="O87" s="9" t="n">
        <f aca="false">ROUND(L87/(1+M87),2)</f>
        <v>1305.08</v>
      </c>
      <c r="P87" s="9" t="n">
        <f aca="false">O87-N87</f>
        <v>0</v>
      </c>
      <c r="Q87" s="9" t="n">
        <f aca="false">ROUND(N87*M87,2)</f>
        <v>234.91</v>
      </c>
      <c r="R87" s="9" t="n">
        <f aca="false">N87+Q87</f>
        <v>1539.99</v>
      </c>
      <c r="S87" s="10"/>
    </row>
    <row r="88" customFormat="false" ht="15" hidden="false" customHeight="false" outlineLevel="0" collapsed="false">
      <c r="A88" s="4" t="n">
        <v>84</v>
      </c>
      <c r="B88" s="5" t="s">
        <v>190</v>
      </c>
      <c r="C88" s="5" t="s">
        <v>217</v>
      </c>
      <c r="D88" s="5" t="s">
        <v>218</v>
      </c>
      <c r="E88" s="6" t="s">
        <v>48</v>
      </c>
      <c r="F88" s="7" t="n">
        <v>140</v>
      </c>
      <c r="G88" s="8" t="n">
        <v>0.45</v>
      </c>
      <c r="H88" s="8" t="n">
        <v>0</v>
      </c>
      <c r="I88" s="7" t="n">
        <v>77</v>
      </c>
      <c r="J88" s="9" t="n">
        <f aca="false">F88*(1-G88)*(1-H88)</f>
        <v>77</v>
      </c>
      <c r="K88" s="4" t="n">
        <v>20</v>
      </c>
      <c r="L88" s="9" t="n">
        <f aca="false">J88*K88</f>
        <v>1540</v>
      </c>
      <c r="M88" s="8" t="n">
        <v>0.18</v>
      </c>
      <c r="N88" s="7" t="n">
        <v>1305.08</v>
      </c>
      <c r="O88" s="9" t="n">
        <f aca="false">ROUND(L88/(1+M88),2)</f>
        <v>1305.08</v>
      </c>
      <c r="P88" s="9" t="n">
        <f aca="false">O88-N88</f>
        <v>0</v>
      </c>
      <c r="Q88" s="9" t="n">
        <f aca="false">ROUND(N88*M88,2)</f>
        <v>234.91</v>
      </c>
      <c r="R88" s="9" t="n">
        <f aca="false">N88+Q88</f>
        <v>1539.99</v>
      </c>
      <c r="S88" s="10"/>
    </row>
    <row r="89" customFormat="false" ht="22.35" hidden="false" customHeight="false" outlineLevel="0" collapsed="false">
      <c r="A89" s="4" t="n">
        <v>85</v>
      </c>
      <c r="B89" s="5" t="s">
        <v>190</v>
      </c>
      <c r="C89" s="5" t="s">
        <v>219</v>
      </c>
      <c r="D89" s="5" t="s">
        <v>220</v>
      </c>
      <c r="E89" s="6" t="s">
        <v>48</v>
      </c>
      <c r="F89" s="7" t="n">
        <v>4</v>
      </c>
      <c r="G89" s="8" t="n">
        <v>0.45</v>
      </c>
      <c r="H89" s="8" t="n">
        <v>0</v>
      </c>
      <c r="I89" s="7" t="n">
        <v>2.2</v>
      </c>
      <c r="J89" s="9" t="n">
        <f aca="false">F89*(1-G89)*(1-H89)</f>
        <v>2.2</v>
      </c>
      <c r="K89" s="4" t="n">
        <v>100</v>
      </c>
      <c r="L89" s="9" t="n">
        <f aca="false">J89*K89</f>
        <v>220</v>
      </c>
      <c r="M89" s="8" t="n">
        <v>0.18</v>
      </c>
      <c r="N89" s="7" t="n">
        <v>186.44</v>
      </c>
      <c r="O89" s="9" t="n">
        <f aca="false">ROUND(L89/(1+M89),2)</f>
        <v>186.44</v>
      </c>
      <c r="P89" s="9" t="n">
        <f aca="false">O89-N89</f>
        <v>0</v>
      </c>
      <c r="Q89" s="9" t="n">
        <f aca="false">ROUND(N89*M89,2)</f>
        <v>33.56</v>
      </c>
      <c r="R89" s="9" t="n">
        <f aca="false">N89+Q89</f>
        <v>220</v>
      </c>
      <c r="S89" s="10" t="s">
        <v>221</v>
      </c>
    </row>
    <row r="90" customFormat="false" ht="22.35" hidden="false" customHeight="false" outlineLevel="0" collapsed="false">
      <c r="A90" s="4" t="n">
        <v>86</v>
      </c>
      <c r="B90" s="5" t="s">
        <v>190</v>
      </c>
      <c r="C90" s="5" t="s">
        <v>219</v>
      </c>
      <c r="D90" s="5" t="s">
        <v>220</v>
      </c>
      <c r="E90" s="6" t="s">
        <v>48</v>
      </c>
      <c r="F90" s="7" t="n">
        <v>4</v>
      </c>
      <c r="G90" s="8" t="n">
        <v>0.45</v>
      </c>
      <c r="H90" s="8" t="n">
        <v>0</v>
      </c>
      <c r="I90" s="7" t="n">
        <v>2.2</v>
      </c>
      <c r="J90" s="9" t="n">
        <f aca="false">F90*(1-G90)*(1-H90)</f>
        <v>2.2</v>
      </c>
      <c r="K90" s="4" t="n">
        <v>100</v>
      </c>
      <c r="L90" s="9" t="n">
        <f aca="false">J90*K90</f>
        <v>220</v>
      </c>
      <c r="M90" s="8" t="n">
        <v>0.18</v>
      </c>
      <c r="N90" s="7" t="n">
        <v>186.44</v>
      </c>
      <c r="O90" s="9" t="n">
        <f aca="false">ROUND(L90/(1+M90),2)</f>
        <v>186.44</v>
      </c>
      <c r="P90" s="9" t="n">
        <f aca="false">O90-N90</f>
        <v>0</v>
      </c>
      <c r="Q90" s="9" t="n">
        <f aca="false">ROUND(N90*M90,2)</f>
        <v>33.56</v>
      </c>
      <c r="R90" s="9" t="n">
        <f aca="false">N90+Q90</f>
        <v>220</v>
      </c>
      <c r="S90" s="10" t="s">
        <v>222</v>
      </c>
    </row>
    <row r="91" customFormat="false" ht="15" hidden="false" customHeight="false" outlineLevel="0" collapsed="false">
      <c r="A91" s="4" t="n">
        <v>87</v>
      </c>
      <c r="B91" s="5" t="s">
        <v>190</v>
      </c>
      <c r="C91" s="5" t="s">
        <v>223</v>
      </c>
      <c r="D91" s="5" t="s">
        <v>224</v>
      </c>
      <c r="E91" s="6" t="s">
        <v>48</v>
      </c>
      <c r="F91" s="7" t="n">
        <v>27</v>
      </c>
      <c r="G91" s="8" t="n">
        <v>0.45</v>
      </c>
      <c r="H91" s="8" t="n">
        <v>0</v>
      </c>
      <c r="I91" s="7" t="n">
        <v>14.85</v>
      </c>
      <c r="J91" s="9" t="n">
        <f aca="false">F91*(1-G91)*(1-H91)</f>
        <v>14.85</v>
      </c>
      <c r="K91" s="4" t="n">
        <v>10</v>
      </c>
      <c r="L91" s="9" t="n">
        <f aca="false">J91*K91</f>
        <v>148.5</v>
      </c>
      <c r="M91" s="8" t="n">
        <v>0.18</v>
      </c>
      <c r="N91" s="7" t="n">
        <v>125.85</v>
      </c>
      <c r="O91" s="9" t="n">
        <f aca="false">ROUND(L91/(1+M91),2)</f>
        <v>125.85</v>
      </c>
      <c r="P91" s="9" t="n">
        <f aca="false">O91-N91</f>
        <v>0</v>
      </c>
      <c r="Q91" s="9" t="n">
        <f aca="false">ROUND(N91*M91,2)</f>
        <v>22.65</v>
      </c>
      <c r="R91" s="9" t="n">
        <f aca="false">N91+Q91</f>
        <v>148.5</v>
      </c>
      <c r="S91" s="10"/>
    </row>
    <row r="92" customFormat="false" ht="15" hidden="false" customHeight="false" outlineLevel="0" collapsed="false">
      <c r="A92" s="11" t="n">
        <v>88</v>
      </c>
      <c r="B92" s="12" t="s">
        <v>225</v>
      </c>
      <c r="C92" s="12" t="s">
        <v>226</v>
      </c>
      <c r="D92" s="12" t="s">
        <v>227</v>
      </c>
      <c r="E92" s="13" t="s">
        <v>108</v>
      </c>
      <c r="F92" s="14" t="n">
        <v>104</v>
      </c>
      <c r="G92" s="15" t="n">
        <v>0.35</v>
      </c>
      <c r="H92" s="15" t="n">
        <v>0</v>
      </c>
      <c r="I92" s="14" t="n">
        <v>67.6</v>
      </c>
      <c r="J92" s="16" t="n">
        <f aca="false">F92*(1-G92)*(1-H92)</f>
        <v>67.6</v>
      </c>
      <c r="K92" s="11" t="n">
        <v>2</v>
      </c>
      <c r="L92" s="16" t="n">
        <f aca="false">J92*K92</f>
        <v>135.2</v>
      </c>
      <c r="M92" s="15" t="n">
        <v>0.18</v>
      </c>
      <c r="N92" s="14" t="n">
        <v>114.58</v>
      </c>
      <c r="O92" s="16" t="n">
        <f aca="false">ROUND(L92/(1+M92),2)</f>
        <v>114.58</v>
      </c>
      <c r="P92" s="16" t="n">
        <f aca="false">O92-N92</f>
        <v>0</v>
      </c>
      <c r="Q92" s="16" t="n">
        <f aca="false">ROUND(N92*M92,2)</f>
        <v>20.62</v>
      </c>
      <c r="R92" s="16" t="n">
        <f aca="false">N92+Q92</f>
        <v>135.2</v>
      </c>
      <c r="S92" s="17"/>
    </row>
    <row r="93" customFormat="false" ht="15" hidden="false" customHeight="false" outlineLevel="0" collapsed="false">
      <c r="A93" s="4" t="n">
        <v>89</v>
      </c>
      <c r="B93" s="5" t="s">
        <v>225</v>
      </c>
      <c r="C93" s="5" t="s">
        <v>228</v>
      </c>
      <c r="D93" s="5" t="s">
        <v>229</v>
      </c>
      <c r="E93" s="6" t="s">
        <v>230</v>
      </c>
      <c r="F93" s="7" t="n">
        <v>882</v>
      </c>
      <c r="G93" s="8" t="n">
        <v>0.35</v>
      </c>
      <c r="H93" s="8" t="n">
        <v>0</v>
      </c>
      <c r="I93" s="7" t="n">
        <v>573.3</v>
      </c>
      <c r="J93" s="9" t="n">
        <f aca="false">F93*(1-G93)*(1-H93)</f>
        <v>573.3</v>
      </c>
      <c r="K93" s="4" t="n">
        <v>2</v>
      </c>
      <c r="L93" s="9" t="n">
        <f aca="false">J93*K93</f>
        <v>1146.6</v>
      </c>
      <c r="M93" s="8" t="n">
        <v>0.18</v>
      </c>
      <c r="N93" s="7" t="n">
        <v>971.69</v>
      </c>
      <c r="O93" s="9" t="n">
        <f aca="false">ROUND(L93/(1+M93),2)</f>
        <v>971.69</v>
      </c>
      <c r="P93" s="9" t="n">
        <f aca="false">O93-N93</f>
        <v>0</v>
      </c>
      <c r="Q93" s="9" t="n">
        <f aca="false">ROUND(N93*M93,2)</f>
        <v>174.9</v>
      </c>
      <c r="R93" s="9" t="n">
        <f aca="false">N93+Q93</f>
        <v>1146.59</v>
      </c>
      <c r="S93" s="10"/>
    </row>
    <row r="94" customFormat="false" ht="15" hidden="false" customHeight="false" outlineLevel="0" collapsed="false">
      <c r="A94" s="4" t="n">
        <v>90</v>
      </c>
      <c r="B94" s="5" t="s">
        <v>225</v>
      </c>
      <c r="C94" s="5" t="s">
        <v>231</v>
      </c>
      <c r="D94" s="5" t="s">
        <v>232</v>
      </c>
      <c r="E94" s="6" t="s">
        <v>233</v>
      </c>
      <c r="F94" s="7" t="n">
        <v>62</v>
      </c>
      <c r="G94" s="8" t="n">
        <v>0.35</v>
      </c>
      <c r="H94" s="8" t="n">
        <v>0</v>
      </c>
      <c r="I94" s="7" t="n">
        <v>40.3</v>
      </c>
      <c r="J94" s="9" t="n">
        <f aca="false">F94*(1-G94)*(1-H94)</f>
        <v>40.3</v>
      </c>
      <c r="K94" s="4" t="n">
        <v>10</v>
      </c>
      <c r="L94" s="9" t="n">
        <f aca="false">J94*K94</f>
        <v>403</v>
      </c>
      <c r="M94" s="8" t="n">
        <v>0.18</v>
      </c>
      <c r="N94" s="7" t="n">
        <v>341.53</v>
      </c>
      <c r="O94" s="9" t="n">
        <f aca="false">ROUND(L94/(1+M94),2)</f>
        <v>341.53</v>
      </c>
      <c r="P94" s="9" t="n">
        <f aca="false">O94-N94</f>
        <v>0</v>
      </c>
      <c r="Q94" s="9" t="n">
        <f aca="false">ROUND(N94*M94,2)</f>
        <v>61.48</v>
      </c>
      <c r="R94" s="9" t="n">
        <f aca="false">N94+Q94</f>
        <v>403.01</v>
      </c>
      <c r="S94" s="10" t="s">
        <v>109</v>
      </c>
    </row>
    <row r="95" customFormat="false" ht="15" hidden="false" customHeight="false" outlineLevel="0" collapsed="false">
      <c r="A95" s="4" t="n">
        <v>91</v>
      </c>
      <c r="B95" s="5" t="s">
        <v>225</v>
      </c>
      <c r="C95" s="5" t="s">
        <v>234</v>
      </c>
      <c r="D95" s="5" t="s">
        <v>235</v>
      </c>
      <c r="E95" s="6" t="s">
        <v>230</v>
      </c>
      <c r="F95" s="7" t="n">
        <v>444</v>
      </c>
      <c r="G95" s="8" t="n">
        <v>0.35</v>
      </c>
      <c r="H95" s="8" t="n">
        <v>0</v>
      </c>
      <c r="I95" s="7" t="n">
        <v>288.6</v>
      </c>
      <c r="J95" s="9" t="n">
        <f aca="false">F95*(1-G95)*(1-H95)</f>
        <v>288.6</v>
      </c>
      <c r="K95" s="4" t="n">
        <v>2</v>
      </c>
      <c r="L95" s="9" t="n">
        <f aca="false">J95*K95</f>
        <v>577.2</v>
      </c>
      <c r="M95" s="8" t="n">
        <v>0.18</v>
      </c>
      <c r="N95" s="7" t="n">
        <v>489.15</v>
      </c>
      <c r="O95" s="9" t="n">
        <f aca="false">ROUND(L95/(1+M95),2)</f>
        <v>489.15</v>
      </c>
      <c r="P95" s="9" t="n">
        <f aca="false">O95-N95</f>
        <v>0</v>
      </c>
      <c r="Q95" s="9" t="n">
        <f aca="false">ROUND(N95*M95,2)</f>
        <v>88.05</v>
      </c>
      <c r="R95" s="9" t="n">
        <f aca="false">N95+Q95</f>
        <v>577.2</v>
      </c>
      <c r="S95" s="10"/>
    </row>
    <row r="96" customFormat="false" ht="15" hidden="false" customHeight="false" outlineLevel="0" collapsed="false">
      <c r="A96" s="11" t="n">
        <v>92</v>
      </c>
      <c r="B96" s="12" t="s">
        <v>236</v>
      </c>
      <c r="C96" s="12" t="s">
        <v>237</v>
      </c>
      <c r="D96" s="12" t="s">
        <v>238</v>
      </c>
      <c r="E96" s="13" t="s">
        <v>239</v>
      </c>
      <c r="F96" s="14" t="n">
        <v>139</v>
      </c>
      <c r="G96" s="15" t="n">
        <v>0.45</v>
      </c>
      <c r="H96" s="15" t="n">
        <v>0</v>
      </c>
      <c r="I96" s="14" t="n">
        <v>76.45</v>
      </c>
      <c r="J96" s="16" t="n">
        <f aca="false">F96*(1-G96)*(1-H96)</f>
        <v>76.45</v>
      </c>
      <c r="K96" s="11" t="n">
        <v>3</v>
      </c>
      <c r="L96" s="16" t="n">
        <f aca="false">J96*K96</f>
        <v>229.35</v>
      </c>
      <c r="M96" s="15" t="n">
        <v>0.18</v>
      </c>
      <c r="N96" s="14" t="n">
        <v>194.36</v>
      </c>
      <c r="O96" s="16" t="n">
        <f aca="false">ROUND(L96/(1+M96),2)</f>
        <v>194.36</v>
      </c>
      <c r="P96" s="16" t="n">
        <f aca="false">O96-N96</f>
        <v>0</v>
      </c>
      <c r="Q96" s="16" t="n">
        <f aca="false">ROUND(N96*M96,2)</f>
        <v>34.98</v>
      </c>
      <c r="R96" s="16" t="n">
        <f aca="false">N96+Q96</f>
        <v>229.34</v>
      </c>
      <c r="S96" s="17"/>
    </row>
    <row r="97" customFormat="false" ht="15" hidden="false" customHeight="false" outlineLevel="0" collapsed="false">
      <c r="A97" s="4" t="n">
        <v>93</v>
      </c>
      <c r="B97" s="5" t="s">
        <v>236</v>
      </c>
      <c r="C97" s="5" t="s">
        <v>240</v>
      </c>
      <c r="D97" s="5" t="s">
        <v>241</v>
      </c>
      <c r="E97" s="6" t="s">
        <v>239</v>
      </c>
      <c r="F97" s="7" t="n">
        <v>114</v>
      </c>
      <c r="G97" s="8" t="n">
        <v>0.45</v>
      </c>
      <c r="H97" s="8" t="n">
        <v>0</v>
      </c>
      <c r="I97" s="7" t="n">
        <v>62.7</v>
      </c>
      <c r="J97" s="9" t="n">
        <f aca="false">F97*(1-G97)*(1-H97)</f>
        <v>62.7</v>
      </c>
      <c r="K97" s="4" t="n">
        <v>18</v>
      </c>
      <c r="L97" s="9" t="n">
        <f aca="false">J97*K97</f>
        <v>1128.6</v>
      </c>
      <c r="M97" s="8" t="n">
        <v>0.18</v>
      </c>
      <c r="N97" s="7" t="n">
        <v>956.44</v>
      </c>
      <c r="O97" s="9" t="n">
        <f aca="false">ROUND(L97/(1+M97),2)</f>
        <v>956.44</v>
      </c>
      <c r="P97" s="9" t="n">
        <f aca="false">O97-N97</f>
        <v>0</v>
      </c>
      <c r="Q97" s="9" t="n">
        <f aca="false">ROUND(N97*M97,2)</f>
        <v>172.16</v>
      </c>
      <c r="R97" s="9" t="n">
        <f aca="false">N97+Q97</f>
        <v>1128.6</v>
      </c>
      <c r="S97" s="10"/>
    </row>
    <row r="98" customFormat="false" ht="15" hidden="false" customHeight="false" outlineLevel="0" collapsed="false">
      <c r="A98" s="4" t="n">
        <v>94</v>
      </c>
      <c r="B98" s="5" t="s">
        <v>236</v>
      </c>
      <c r="C98" s="5" t="s">
        <v>242</v>
      </c>
      <c r="D98" s="5" t="s">
        <v>243</v>
      </c>
      <c r="E98" s="6" t="s">
        <v>239</v>
      </c>
      <c r="F98" s="7" t="n">
        <v>176</v>
      </c>
      <c r="G98" s="8" t="n">
        <v>0.45</v>
      </c>
      <c r="H98" s="8" t="n">
        <v>0</v>
      </c>
      <c r="I98" s="7" t="n">
        <v>96.8</v>
      </c>
      <c r="J98" s="9" t="n">
        <f aca="false">F98*(1-G98)*(1-H98)</f>
        <v>96.8</v>
      </c>
      <c r="K98" s="4" t="n">
        <v>15</v>
      </c>
      <c r="L98" s="9" t="n">
        <f aca="false">J98*K98</f>
        <v>1452</v>
      </c>
      <c r="M98" s="8" t="n">
        <v>0.18</v>
      </c>
      <c r="N98" s="7" t="n">
        <v>1230.51</v>
      </c>
      <c r="O98" s="9" t="n">
        <f aca="false">ROUND(L98/(1+M98),2)</f>
        <v>1230.51</v>
      </c>
      <c r="P98" s="9" t="n">
        <f aca="false">O98-N98</f>
        <v>0</v>
      </c>
      <c r="Q98" s="9" t="n">
        <f aca="false">ROUND(N98*M98,2)</f>
        <v>221.49</v>
      </c>
      <c r="R98" s="9" t="n">
        <f aca="false">N98+Q98</f>
        <v>1452</v>
      </c>
      <c r="S98" s="10"/>
    </row>
    <row r="99" customFormat="false" ht="15" hidden="false" customHeight="false" outlineLevel="0" collapsed="false">
      <c r="A99" s="4" t="n">
        <v>95</v>
      </c>
      <c r="B99" s="5" t="s">
        <v>236</v>
      </c>
      <c r="C99" s="5" t="s">
        <v>244</v>
      </c>
      <c r="D99" s="5" t="s">
        <v>245</v>
      </c>
      <c r="E99" s="6" t="s">
        <v>239</v>
      </c>
      <c r="F99" s="7" t="n">
        <v>241</v>
      </c>
      <c r="G99" s="8" t="n">
        <v>0.45</v>
      </c>
      <c r="H99" s="8" t="n">
        <v>0</v>
      </c>
      <c r="I99" s="7" t="n">
        <v>132.55</v>
      </c>
      <c r="J99" s="9" t="n">
        <f aca="false">F99*(1-G99)*(1-H99)</f>
        <v>132.55</v>
      </c>
      <c r="K99" s="4" t="n">
        <v>10</v>
      </c>
      <c r="L99" s="9" t="n">
        <f aca="false">J99*K99</f>
        <v>1325.5</v>
      </c>
      <c r="M99" s="8" t="n">
        <v>0.18</v>
      </c>
      <c r="N99" s="7" t="n">
        <v>1123.31</v>
      </c>
      <c r="O99" s="9" t="n">
        <f aca="false">ROUND(L99/(1+M99),2)</f>
        <v>1123.31</v>
      </c>
      <c r="P99" s="9" t="n">
        <f aca="false">O99-N99</f>
        <v>0</v>
      </c>
      <c r="Q99" s="9" t="n">
        <f aca="false">ROUND(N99*M99,2)</f>
        <v>202.2</v>
      </c>
      <c r="R99" s="9" t="n">
        <f aca="false">N99+Q99</f>
        <v>1325.51</v>
      </c>
      <c r="S99" s="10"/>
    </row>
    <row r="100" customFormat="false" ht="15" hidden="false" customHeight="false" outlineLevel="0" collapsed="false">
      <c r="A100" s="4" t="n">
        <v>96</v>
      </c>
      <c r="B100" s="5" t="s">
        <v>236</v>
      </c>
      <c r="C100" s="5" t="s">
        <v>246</v>
      </c>
      <c r="D100" s="5" t="s">
        <v>247</v>
      </c>
      <c r="E100" s="6" t="s">
        <v>239</v>
      </c>
      <c r="F100" s="7" t="n">
        <v>209</v>
      </c>
      <c r="G100" s="8" t="n">
        <v>0.45</v>
      </c>
      <c r="H100" s="8" t="n">
        <v>0</v>
      </c>
      <c r="I100" s="7" t="n">
        <v>114.95</v>
      </c>
      <c r="J100" s="9" t="n">
        <f aca="false">F100*(1-G100)*(1-H100)</f>
        <v>114.95</v>
      </c>
      <c r="K100" s="4" t="n">
        <v>20</v>
      </c>
      <c r="L100" s="9" t="n">
        <f aca="false">J100*K100</f>
        <v>2299</v>
      </c>
      <c r="M100" s="8" t="n">
        <v>0.18</v>
      </c>
      <c r="N100" s="7" t="n">
        <v>1948.31</v>
      </c>
      <c r="O100" s="9" t="n">
        <f aca="false">ROUND(L100/(1+M100),2)</f>
        <v>1948.31</v>
      </c>
      <c r="P100" s="9" t="n">
        <f aca="false">O100-N100</f>
        <v>0</v>
      </c>
      <c r="Q100" s="9" t="n">
        <f aca="false">ROUND(N100*M100,2)</f>
        <v>350.7</v>
      </c>
      <c r="R100" s="9" t="n">
        <f aca="false">N100+Q100</f>
        <v>2299.01</v>
      </c>
      <c r="S100" s="10"/>
    </row>
    <row r="101" customFormat="false" ht="15" hidden="false" customHeight="false" outlineLevel="0" collapsed="false">
      <c r="A101" s="4" t="n">
        <v>97</v>
      </c>
      <c r="B101" s="5" t="s">
        <v>236</v>
      </c>
      <c r="C101" s="5" t="s">
        <v>248</v>
      </c>
      <c r="D101" s="5" t="s">
        <v>249</v>
      </c>
      <c r="E101" s="6" t="s">
        <v>239</v>
      </c>
      <c r="F101" s="7" t="n">
        <v>183</v>
      </c>
      <c r="G101" s="8" t="n">
        <v>0.45</v>
      </c>
      <c r="H101" s="8" t="n">
        <v>0</v>
      </c>
      <c r="I101" s="7" t="n">
        <v>100.65</v>
      </c>
      <c r="J101" s="9" t="n">
        <f aca="false">F101*(1-G101)*(1-H101)</f>
        <v>100.65</v>
      </c>
      <c r="K101" s="4" t="n">
        <v>4</v>
      </c>
      <c r="L101" s="9" t="n">
        <f aca="false">J101*K101</f>
        <v>402.6</v>
      </c>
      <c r="M101" s="8" t="n">
        <v>0.18</v>
      </c>
      <c r="N101" s="7" t="n">
        <v>341.19</v>
      </c>
      <c r="O101" s="9" t="n">
        <f aca="false">ROUND(L101/(1+M101),2)</f>
        <v>341.19</v>
      </c>
      <c r="P101" s="9" t="n">
        <f aca="false">O101-N101</f>
        <v>0</v>
      </c>
      <c r="Q101" s="9" t="n">
        <f aca="false">ROUND(N101*M101,2)</f>
        <v>61.41</v>
      </c>
      <c r="R101" s="9" t="n">
        <f aca="false">N101+Q101</f>
        <v>402.6</v>
      </c>
      <c r="S101" s="10"/>
    </row>
    <row r="102" customFormat="false" ht="15" hidden="false" customHeight="false" outlineLevel="0" collapsed="false">
      <c r="A102" s="4" t="n">
        <v>98</v>
      </c>
      <c r="B102" s="5" t="s">
        <v>236</v>
      </c>
      <c r="C102" s="5" t="s">
        <v>250</v>
      </c>
      <c r="D102" s="5" t="s">
        <v>251</v>
      </c>
      <c r="E102" s="6" t="s">
        <v>239</v>
      </c>
      <c r="F102" s="7" t="n">
        <v>148</v>
      </c>
      <c r="G102" s="8" t="n">
        <v>0.45</v>
      </c>
      <c r="H102" s="8" t="n">
        <v>0</v>
      </c>
      <c r="I102" s="7" t="n">
        <v>81.4</v>
      </c>
      <c r="J102" s="9" t="n">
        <f aca="false">F102*(1-G102)*(1-H102)</f>
        <v>81.4</v>
      </c>
      <c r="K102" s="4" t="n">
        <v>10</v>
      </c>
      <c r="L102" s="9" t="n">
        <f aca="false">J102*K102</f>
        <v>814</v>
      </c>
      <c r="M102" s="8" t="n">
        <v>0.18</v>
      </c>
      <c r="N102" s="7" t="n">
        <v>689.83</v>
      </c>
      <c r="O102" s="9" t="n">
        <f aca="false">ROUND(L102/(1+M102),2)</f>
        <v>689.83</v>
      </c>
      <c r="P102" s="9" t="n">
        <f aca="false">O102-N102</f>
        <v>0</v>
      </c>
      <c r="Q102" s="9" t="n">
        <f aca="false">ROUND(N102*M102,2)</f>
        <v>124.17</v>
      </c>
      <c r="R102" s="9" t="n">
        <f aca="false">N102+Q102</f>
        <v>814</v>
      </c>
      <c r="S102" s="10"/>
    </row>
    <row r="103" customFormat="false" ht="15" hidden="false" customHeight="false" outlineLevel="0" collapsed="false">
      <c r="A103" s="4" t="n">
        <v>99</v>
      </c>
      <c r="B103" s="5" t="s">
        <v>236</v>
      </c>
      <c r="C103" s="5" t="s">
        <v>252</v>
      </c>
      <c r="D103" s="5" t="s">
        <v>253</v>
      </c>
      <c r="E103" s="6" t="s">
        <v>239</v>
      </c>
      <c r="F103" s="7" t="n">
        <v>247</v>
      </c>
      <c r="G103" s="8" t="n">
        <v>0.45</v>
      </c>
      <c r="H103" s="8" t="n">
        <v>0</v>
      </c>
      <c r="I103" s="7" t="n">
        <v>135.85</v>
      </c>
      <c r="J103" s="9" t="n">
        <f aca="false">F103*(1-G103)*(1-H103)</f>
        <v>135.85</v>
      </c>
      <c r="K103" s="4" t="n">
        <v>24</v>
      </c>
      <c r="L103" s="9" t="n">
        <f aca="false">J103*K103</f>
        <v>3260.4</v>
      </c>
      <c r="M103" s="8" t="n">
        <v>0.18</v>
      </c>
      <c r="N103" s="7" t="n">
        <v>2763.05</v>
      </c>
      <c r="O103" s="9" t="n">
        <f aca="false">ROUND(L103/(1+M103),2)</f>
        <v>2763.05</v>
      </c>
      <c r="P103" s="9" t="n">
        <f aca="false">O103-N103</f>
        <v>0</v>
      </c>
      <c r="Q103" s="9" t="n">
        <f aca="false">ROUND(N103*M103,2)</f>
        <v>497.35</v>
      </c>
      <c r="R103" s="9" t="n">
        <f aca="false">N103+Q103</f>
        <v>3260.4</v>
      </c>
      <c r="S103" s="10"/>
    </row>
    <row r="104" customFormat="false" ht="15" hidden="false" customHeight="false" outlineLevel="0" collapsed="false">
      <c r="A104" s="4" t="n">
        <v>100</v>
      </c>
      <c r="B104" s="5" t="s">
        <v>236</v>
      </c>
      <c r="C104" s="5" t="s">
        <v>254</v>
      </c>
      <c r="D104" s="5" t="s">
        <v>255</v>
      </c>
      <c r="E104" s="6" t="s">
        <v>239</v>
      </c>
      <c r="F104" s="7" t="n">
        <v>369</v>
      </c>
      <c r="G104" s="8" t="n">
        <v>0.45</v>
      </c>
      <c r="H104" s="8" t="n">
        <v>0</v>
      </c>
      <c r="I104" s="7" t="n">
        <v>202.95</v>
      </c>
      <c r="J104" s="9" t="n">
        <f aca="false">F104*(1-G104)*(1-H104)</f>
        <v>202.95</v>
      </c>
      <c r="K104" s="4" t="n">
        <v>18</v>
      </c>
      <c r="L104" s="9" t="n">
        <f aca="false">J104*K104</f>
        <v>3653.1</v>
      </c>
      <c r="M104" s="8" t="n">
        <v>0.18</v>
      </c>
      <c r="N104" s="7" t="n">
        <v>3095.85</v>
      </c>
      <c r="O104" s="9" t="n">
        <f aca="false">ROUND(L104/(1+M104),2)</f>
        <v>3095.85</v>
      </c>
      <c r="P104" s="9" t="n">
        <f aca="false">O104-N104</f>
        <v>0</v>
      </c>
      <c r="Q104" s="9" t="n">
        <f aca="false">ROUND(N104*M104,2)</f>
        <v>557.25</v>
      </c>
      <c r="R104" s="9" t="n">
        <f aca="false">N104+Q104</f>
        <v>3653.1</v>
      </c>
      <c r="S104" s="10"/>
    </row>
    <row r="105" customFormat="false" ht="15" hidden="false" customHeight="false" outlineLevel="0" collapsed="false">
      <c r="A105" s="4" t="n">
        <v>101</v>
      </c>
      <c r="B105" s="5" t="s">
        <v>236</v>
      </c>
      <c r="C105" s="5" t="s">
        <v>256</v>
      </c>
      <c r="D105" s="5" t="s">
        <v>257</v>
      </c>
      <c r="E105" s="6" t="s">
        <v>239</v>
      </c>
      <c r="F105" s="7" t="n">
        <v>548</v>
      </c>
      <c r="G105" s="8" t="n">
        <v>0.45</v>
      </c>
      <c r="H105" s="8" t="n">
        <v>0</v>
      </c>
      <c r="I105" s="7" t="n">
        <v>301.4</v>
      </c>
      <c r="J105" s="9" t="n">
        <f aca="false">F105*(1-G105)*(1-H105)</f>
        <v>301.4</v>
      </c>
      <c r="K105" s="4" t="n">
        <v>10</v>
      </c>
      <c r="L105" s="9" t="n">
        <f aca="false">J105*K105</f>
        <v>3014</v>
      </c>
      <c r="M105" s="8" t="n">
        <v>0.18</v>
      </c>
      <c r="N105" s="7" t="n">
        <v>2554.24</v>
      </c>
      <c r="O105" s="9" t="n">
        <f aca="false">ROUND(L105/(1+M105),2)</f>
        <v>2554.24</v>
      </c>
      <c r="P105" s="9" t="n">
        <f aca="false">O105-N105</f>
        <v>0</v>
      </c>
      <c r="Q105" s="9" t="n">
        <f aca="false">ROUND(N105*M105,2)</f>
        <v>459.76</v>
      </c>
      <c r="R105" s="9" t="n">
        <f aca="false">N105+Q105</f>
        <v>3014</v>
      </c>
      <c r="S105" s="10"/>
    </row>
    <row r="106" customFormat="false" ht="15" hidden="false" customHeight="false" outlineLevel="0" collapsed="false">
      <c r="A106" s="11" t="n">
        <v>102</v>
      </c>
      <c r="B106" s="12" t="s">
        <v>258</v>
      </c>
      <c r="C106" s="12" t="s">
        <v>259</v>
      </c>
      <c r="D106" s="12" t="s">
        <v>260</v>
      </c>
      <c r="E106" s="13" t="s">
        <v>239</v>
      </c>
      <c r="F106" s="14" t="n">
        <v>88</v>
      </c>
      <c r="G106" s="15" t="n">
        <v>0</v>
      </c>
      <c r="H106" s="15" t="n">
        <v>0</v>
      </c>
      <c r="I106" s="14" t="n">
        <v>88</v>
      </c>
      <c r="J106" s="16" t="n">
        <f aca="false">F106*(1-G106)*(1-H106)</f>
        <v>88</v>
      </c>
      <c r="K106" s="11" t="n">
        <v>24</v>
      </c>
      <c r="L106" s="16" t="n">
        <f aca="false">J106*K106</f>
        <v>2112</v>
      </c>
      <c r="M106" s="15" t="n">
        <v>0.18</v>
      </c>
      <c r="N106" s="14" t="n">
        <v>1789.83</v>
      </c>
      <c r="O106" s="16" t="n">
        <f aca="false">ROUND(L106/(1+M106),2)</f>
        <v>1789.83</v>
      </c>
      <c r="P106" s="16" t="n">
        <f aca="false">O106-N106</f>
        <v>0</v>
      </c>
      <c r="Q106" s="16" t="n">
        <f aca="false">ROUND(N106*M106,2)</f>
        <v>322.17</v>
      </c>
      <c r="R106" s="16" t="n">
        <f aca="false">N106+Q106</f>
        <v>2112</v>
      </c>
      <c r="S106" s="17"/>
    </row>
    <row r="107" customFormat="false" ht="15" hidden="false" customHeight="false" outlineLevel="0" collapsed="false">
      <c r="A107" s="11" t="n">
        <v>103</v>
      </c>
      <c r="B107" s="12" t="s">
        <v>261</v>
      </c>
      <c r="C107" s="12" t="s">
        <v>262</v>
      </c>
      <c r="D107" s="12" t="s">
        <v>263</v>
      </c>
      <c r="E107" s="13" t="s">
        <v>230</v>
      </c>
      <c r="F107" s="14" t="n">
        <v>410</v>
      </c>
      <c r="G107" s="15" t="n">
        <v>0.4</v>
      </c>
      <c r="H107" s="15" t="n">
        <v>0</v>
      </c>
      <c r="I107" s="14" t="n">
        <v>246</v>
      </c>
      <c r="J107" s="16" t="n">
        <f aca="false">F107*(1-G107)*(1-H107)</f>
        <v>246</v>
      </c>
      <c r="K107" s="11" t="n">
        <v>2</v>
      </c>
      <c r="L107" s="16" t="n">
        <f aca="false">J107*K107</f>
        <v>492</v>
      </c>
      <c r="M107" s="15" t="n">
        <v>0.18</v>
      </c>
      <c r="N107" s="14" t="n">
        <v>416.95</v>
      </c>
      <c r="O107" s="16" t="n">
        <f aca="false">ROUND(L107/(1+M107),2)</f>
        <v>416.95</v>
      </c>
      <c r="P107" s="16" t="n">
        <f aca="false">O107-N107</f>
        <v>0</v>
      </c>
      <c r="Q107" s="16" t="n">
        <f aca="false">ROUND(N107*M107,2)</f>
        <v>75.05</v>
      </c>
      <c r="R107" s="16" t="n">
        <f aca="false">N107+Q107</f>
        <v>492</v>
      </c>
      <c r="S107" s="17"/>
    </row>
    <row r="108" customFormat="false" ht="15" hidden="false" customHeight="false" outlineLevel="0" collapsed="false">
      <c r="A108" s="4" t="n">
        <v>104</v>
      </c>
      <c r="B108" s="5" t="s">
        <v>261</v>
      </c>
      <c r="C108" s="5" t="s">
        <v>264</v>
      </c>
      <c r="D108" s="5" t="s">
        <v>265</v>
      </c>
      <c r="E108" s="6" t="s">
        <v>230</v>
      </c>
      <c r="F108" s="7" t="n">
        <v>480</v>
      </c>
      <c r="G108" s="8" t="n">
        <v>0.4</v>
      </c>
      <c r="H108" s="8" t="n">
        <v>0</v>
      </c>
      <c r="I108" s="7" t="n">
        <v>288</v>
      </c>
      <c r="J108" s="9" t="n">
        <f aca="false">F108*(1-G108)*(1-H108)</f>
        <v>288</v>
      </c>
      <c r="K108" s="4" t="n">
        <v>2</v>
      </c>
      <c r="L108" s="9" t="n">
        <f aca="false">J108*K108</f>
        <v>576</v>
      </c>
      <c r="M108" s="8" t="n">
        <v>0.18</v>
      </c>
      <c r="N108" s="7" t="n">
        <v>488.14</v>
      </c>
      <c r="O108" s="9" t="n">
        <f aca="false">ROUND(L108/(1+M108),2)</f>
        <v>488.14</v>
      </c>
      <c r="P108" s="9" t="n">
        <f aca="false">O108-N108</f>
        <v>0</v>
      </c>
      <c r="Q108" s="9" t="n">
        <f aca="false">ROUND(N108*M108,2)</f>
        <v>87.87</v>
      </c>
      <c r="R108" s="9" t="n">
        <f aca="false">N108+Q108</f>
        <v>576.01</v>
      </c>
      <c r="S108" s="10"/>
    </row>
    <row r="109" customFormat="false" ht="15" hidden="false" customHeight="false" outlineLevel="0" collapsed="false">
      <c r="A109" s="11" t="n">
        <v>105</v>
      </c>
      <c r="B109" s="12" t="s">
        <v>266</v>
      </c>
      <c r="C109" s="12" t="s">
        <v>267</v>
      </c>
      <c r="D109" s="12" t="s">
        <v>268</v>
      </c>
      <c r="E109" s="13" t="s">
        <v>48</v>
      </c>
      <c r="F109" s="14" t="n">
        <v>23</v>
      </c>
      <c r="G109" s="15" t="n">
        <v>0.28</v>
      </c>
      <c r="H109" s="15" t="n">
        <v>0</v>
      </c>
      <c r="I109" s="14" t="n">
        <v>16.56</v>
      </c>
      <c r="J109" s="16" t="n">
        <f aca="false">F109*(1-G109)*(1-H109)</f>
        <v>16.56</v>
      </c>
      <c r="K109" s="11" t="n">
        <v>30</v>
      </c>
      <c r="L109" s="16" t="n">
        <f aca="false">J109*K109</f>
        <v>496.8</v>
      </c>
      <c r="M109" s="15" t="n">
        <v>0.18</v>
      </c>
      <c r="N109" s="14" t="n">
        <v>421.02</v>
      </c>
      <c r="O109" s="16" t="n">
        <f aca="false">ROUND(L109/(1+M109),2)</f>
        <v>421.02</v>
      </c>
      <c r="P109" s="16" t="n">
        <f aca="false">O109-N109</f>
        <v>0</v>
      </c>
      <c r="Q109" s="16" t="n">
        <f aca="false">ROUND(N109*M109,2)</f>
        <v>75.78</v>
      </c>
      <c r="R109" s="16" t="n">
        <f aca="false">N109+Q109</f>
        <v>496.8</v>
      </c>
      <c r="S109" s="17"/>
    </row>
    <row r="110" customFormat="false" ht="15" hidden="false" customHeight="false" outlineLevel="0" collapsed="false">
      <c r="A110" s="4" t="n">
        <v>106</v>
      </c>
      <c r="B110" s="5" t="s">
        <v>266</v>
      </c>
      <c r="C110" s="5" t="s">
        <v>269</v>
      </c>
      <c r="D110" s="5" t="s">
        <v>270</v>
      </c>
      <c r="E110" s="6" t="s">
        <v>48</v>
      </c>
      <c r="F110" s="7" t="n">
        <v>307</v>
      </c>
      <c r="G110" s="8" t="n">
        <v>0.28</v>
      </c>
      <c r="H110" s="8" t="n">
        <v>0</v>
      </c>
      <c r="I110" s="7" t="n">
        <v>221.04</v>
      </c>
      <c r="J110" s="9" t="n">
        <f aca="false">F110*(1-G110)*(1-H110)</f>
        <v>221.04</v>
      </c>
      <c r="K110" s="4" t="n">
        <v>5</v>
      </c>
      <c r="L110" s="9" t="n">
        <f aca="false">J110*K110</f>
        <v>1105.2</v>
      </c>
      <c r="M110" s="8" t="n">
        <v>0.18</v>
      </c>
      <c r="N110" s="7" t="n">
        <v>936.61</v>
      </c>
      <c r="O110" s="9" t="n">
        <f aca="false">ROUND(L110/(1+M110),2)</f>
        <v>936.61</v>
      </c>
      <c r="P110" s="9" t="n">
        <f aca="false">O110-N110</f>
        <v>0</v>
      </c>
      <c r="Q110" s="9" t="n">
        <f aca="false">ROUND(N110*M110,2)</f>
        <v>168.59</v>
      </c>
      <c r="R110" s="9" t="n">
        <f aca="false">N110+Q110</f>
        <v>1105.2</v>
      </c>
      <c r="S110" s="10"/>
    </row>
    <row r="111" customFormat="false" ht="15" hidden="false" customHeight="false" outlineLevel="0" collapsed="false">
      <c r="A111" s="11" t="n">
        <v>107</v>
      </c>
      <c r="B111" s="12" t="s">
        <v>271</v>
      </c>
      <c r="C111" s="12" t="s">
        <v>272</v>
      </c>
      <c r="D111" s="12" t="s">
        <v>273</v>
      </c>
      <c r="E111" s="13" t="s">
        <v>34</v>
      </c>
      <c r="F111" s="14" t="n">
        <v>1386</v>
      </c>
      <c r="G111" s="15" t="n">
        <v>0.28</v>
      </c>
      <c r="H111" s="15" t="n">
        <v>0</v>
      </c>
      <c r="I111" s="14" t="n">
        <v>997.92</v>
      </c>
      <c r="J111" s="16" t="n">
        <f aca="false">F111*(1-G111)*(1-H111)</f>
        <v>997.92</v>
      </c>
      <c r="K111" s="11" t="n">
        <v>3</v>
      </c>
      <c r="L111" s="16" t="n">
        <f aca="false">J111*K111</f>
        <v>2993.76</v>
      </c>
      <c r="M111" s="15" t="n">
        <v>0.18</v>
      </c>
      <c r="N111" s="14" t="n">
        <v>2537.08</v>
      </c>
      <c r="O111" s="16" t="n">
        <f aca="false">ROUND(L111/(1+M111),2)</f>
        <v>2537.08</v>
      </c>
      <c r="P111" s="16" t="n">
        <f aca="false">O111-N111</f>
        <v>0</v>
      </c>
      <c r="Q111" s="16" t="n">
        <f aca="false">ROUND(N111*M111,2)</f>
        <v>456.67</v>
      </c>
      <c r="R111" s="16" t="n">
        <f aca="false">N111+Q111</f>
        <v>2993.75</v>
      </c>
      <c r="S111" s="17"/>
    </row>
    <row r="112" customFormat="false" ht="15" hidden="false" customHeight="false" outlineLevel="0" collapsed="false">
      <c r="A112" s="4" t="n">
        <v>108</v>
      </c>
      <c r="B112" s="5" t="s">
        <v>271</v>
      </c>
      <c r="C112" s="5" t="s">
        <v>274</v>
      </c>
      <c r="D112" s="5" t="s">
        <v>275</v>
      </c>
      <c r="E112" s="6" t="s">
        <v>276</v>
      </c>
      <c r="F112" s="7" t="n">
        <v>82</v>
      </c>
      <c r="G112" s="8" t="n">
        <v>0.28</v>
      </c>
      <c r="H112" s="8" t="n">
        <v>0</v>
      </c>
      <c r="I112" s="7" t="n">
        <v>59.04</v>
      </c>
      <c r="J112" s="9" t="n">
        <f aca="false">F112*(1-G112)*(1-H112)</f>
        <v>59.04</v>
      </c>
      <c r="K112" s="4" t="n">
        <v>25</v>
      </c>
      <c r="L112" s="9" t="n">
        <f aca="false">J112*K112</f>
        <v>1476</v>
      </c>
      <c r="M112" s="8" t="n">
        <v>0.18</v>
      </c>
      <c r="N112" s="7" t="n">
        <v>1250.85</v>
      </c>
      <c r="O112" s="9" t="n">
        <f aca="false">ROUND(L112/(1+M112),2)</f>
        <v>1250.85</v>
      </c>
      <c r="P112" s="9" t="n">
        <f aca="false">O112-N112</f>
        <v>0</v>
      </c>
      <c r="Q112" s="9" t="n">
        <f aca="false">ROUND(N112*M112,2)</f>
        <v>225.15</v>
      </c>
      <c r="R112" s="9" t="n">
        <f aca="false">N112+Q112</f>
        <v>1476</v>
      </c>
      <c r="S112" s="10"/>
    </row>
    <row r="113" customFormat="false" ht="15" hidden="false" customHeight="false" outlineLevel="0" collapsed="false">
      <c r="A113" s="4" t="n">
        <v>109</v>
      </c>
      <c r="B113" s="5" t="s">
        <v>271</v>
      </c>
      <c r="C113" s="5" t="s">
        <v>277</v>
      </c>
      <c r="D113" s="5" t="s">
        <v>278</v>
      </c>
      <c r="E113" s="6" t="s">
        <v>34</v>
      </c>
      <c r="F113" s="7" t="n">
        <v>260</v>
      </c>
      <c r="G113" s="8" t="n">
        <v>0.28</v>
      </c>
      <c r="H113" s="8" t="n">
        <v>0</v>
      </c>
      <c r="I113" s="7" t="n">
        <v>187.2</v>
      </c>
      <c r="J113" s="9" t="n">
        <f aca="false">F113*(1-G113)*(1-H113)</f>
        <v>187.2</v>
      </c>
      <c r="K113" s="4" t="n">
        <v>3</v>
      </c>
      <c r="L113" s="9" t="n">
        <f aca="false">J113*K113</f>
        <v>561.6</v>
      </c>
      <c r="M113" s="8" t="n">
        <v>0.18</v>
      </c>
      <c r="N113" s="7" t="n">
        <v>475.93</v>
      </c>
      <c r="O113" s="9" t="n">
        <f aca="false">ROUND(L113/(1+M113),2)</f>
        <v>475.93</v>
      </c>
      <c r="P113" s="9" t="n">
        <f aca="false">O113-N113</f>
        <v>0</v>
      </c>
      <c r="Q113" s="9" t="n">
        <f aca="false">ROUND(N113*M113,2)</f>
        <v>85.67</v>
      </c>
      <c r="R113" s="9" t="n">
        <f aca="false">N113+Q113</f>
        <v>561.6</v>
      </c>
      <c r="S113" s="10"/>
    </row>
    <row r="114" customFormat="false" ht="15" hidden="false" customHeight="false" outlineLevel="0" collapsed="false">
      <c r="A114" s="4" t="n">
        <v>110</v>
      </c>
      <c r="B114" s="5" t="s">
        <v>271</v>
      </c>
      <c r="C114" s="5" t="s">
        <v>279</v>
      </c>
      <c r="D114" s="5" t="s">
        <v>280</v>
      </c>
      <c r="E114" s="6" t="s">
        <v>276</v>
      </c>
      <c r="F114" s="7" t="n">
        <v>220</v>
      </c>
      <c r="G114" s="8" t="n">
        <v>0.28</v>
      </c>
      <c r="H114" s="8" t="n">
        <v>0</v>
      </c>
      <c r="I114" s="7" t="n">
        <v>158.4</v>
      </c>
      <c r="J114" s="9" t="n">
        <f aca="false">F114*(1-G114)*(1-H114)</f>
        <v>158.4</v>
      </c>
      <c r="K114" s="4" t="n">
        <v>3</v>
      </c>
      <c r="L114" s="9" t="n">
        <f aca="false">J114*K114</f>
        <v>475.2</v>
      </c>
      <c r="M114" s="8" t="n">
        <v>0.18</v>
      </c>
      <c r="N114" s="7" t="n">
        <v>402.71</v>
      </c>
      <c r="O114" s="9" t="n">
        <f aca="false">ROUND(L114/(1+M114),2)</f>
        <v>402.71</v>
      </c>
      <c r="P114" s="9" t="n">
        <f aca="false">O114-N114</f>
        <v>0</v>
      </c>
      <c r="Q114" s="9" t="n">
        <f aca="false">ROUND(N114*M114,2)</f>
        <v>72.49</v>
      </c>
      <c r="R114" s="9" t="n">
        <f aca="false">N114+Q114</f>
        <v>475.2</v>
      </c>
      <c r="S114" s="10" t="s">
        <v>109</v>
      </c>
    </row>
    <row r="115" customFormat="false" ht="15" hidden="false" customHeight="false" outlineLevel="0" collapsed="false">
      <c r="A115" s="18" t="s">
        <v>281</v>
      </c>
      <c r="B115" s="19"/>
      <c r="C115" s="19"/>
      <c r="D115" s="18" t="s">
        <v>282</v>
      </c>
      <c r="E115" s="19"/>
      <c r="F115" s="19"/>
      <c r="G115" s="19"/>
      <c r="H115" s="19"/>
      <c r="I115" s="19"/>
      <c r="J115" s="19"/>
      <c r="K115" s="20" t="n">
        <f aca="false">SUM(K5:K114)</f>
        <v>1640</v>
      </c>
      <c r="L115" s="21" t="n">
        <f aca="false">SUM(L5:L114)</f>
        <v>124248.83</v>
      </c>
      <c r="M115" s="19"/>
      <c r="N115" s="21" t="n">
        <f aca="false">SUM(N5:N114)</f>
        <v>105295.61</v>
      </c>
      <c r="O115" s="21" t="n">
        <f aca="false">SUM(O5:O114)</f>
        <v>105295.61</v>
      </c>
      <c r="P115" s="21" t="n">
        <f aca="false">SUM(P5:P114)</f>
        <v>0</v>
      </c>
      <c r="Q115" s="21" t="n">
        <f aca="false">SUM(Q5:Q114)</f>
        <v>18953.22</v>
      </c>
      <c r="R115" s="21" t="n">
        <f aca="false">SUM(R5:R114)</f>
        <v>124248.83</v>
      </c>
      <c r="S115" s="19"/>
    </row>
    <row r="117" customFormat="false" ht="15" hidden="false" customHeight="false" outlineLevel="0" collapsed="false">
      <c r="A117" s="22" t="s">
        <v>20</v>
      </c>
    </row>
    <row r="118" customFormat="false" ht="25.5" hidden="false" customHeight="true" outlineLevel="0" collapsed="false">
      <c r="A118" s="23" t="s">
        <v>283</v>
      </c>
      <c r="B118" s="23"/>
      <c r="C118" s="23"/>
      <c r="D118" s="23"/>
      <c r="E118" s="23"/>
      <c r="F118" s="23"/>
      <c r="G118" s="23"/>
      <c r="H118" s="23"/>
      <c r="I118" s="23"/>
      <c r="J118" s="23"/>
      <c r="K118" s="23"/>
      <c r="L118" s="23"/>
      <c r="M118" s="23"/>
      <c r="N118" s="23"/>
      <c r="O118" s="23"/>
      <c r="P118" s="23"/>
      <c r="Q118" s="23"/>
      <c r="R118" s="23"/>
      <c r="S118" s="23"/>
    </row>
    <row r="119" customFormat="false" ht="25.5" hidden="false" customHeight="true" outlineLevel="0" collapsed="false">
      <c r="A119" s="23" t="s">
        <v>284</v>
      </c>
      <c r="B119" s="23"/>
      <c r="C119" s="23"/>
      <c r="D119" s="23"/>
      <c r="E119" s="23"/>
      <c r="F119" s="23"/>
      <c r="G119" s="23"/>
      <c r="H119" s="23"/>
      <c r="I119" s="23"/>
      <c r="J119" s="23"/>
      <c r="K119" s="23"/>
      <c r="L119" s="23"/>
      <c r="M119" s="23"/>
      <c r="N119" s="23"/>
      <c r="O119" s="23"/>
      <c r="P119" s="23"/>
      <c r="Q119" s="23"/>
      <c r="R119" s="23"/>
      <c r="S119" s="23"/>
    </row>
    <row r="120" customFormat="false" ht="25.5" hidden="false" customHeight="true" outlineLevel="0" collapsed="false">
      <c r="A120" s="23" t="s">
        <v>285</v>
      </c>
      <c r="B120" s="23"/>
      <c r="C120" s="23"/>
      <c r="D120" s="23"/>
      <c r="E120" s="23"/>
      <c r="F120" s="23"/>
      <c r="G120" s="23"/>
      <c r="H120" s="23"/>
      <c r="I120" s="23"/>
      <c r="J120" s="23"/>
      <c r="K120" s="23"/>
      <c r="L120" s="23"/>
      <c r="M120" s="23"/>
      <c r="N120" s="23"/>
      <c r="O120" s="23"/>
      <c r="P120" s="23"/>
      <c r="Q120" s="23"/>
      <c r="R120" s="23"/>
      <c r="S120" s="23"/>
    </row>
    <row r="121" customFormat="false" ht="25.5" hidden="false" customHeight="true" outlineLevel="0" collapsed="false">
      <c r="A121" s="23" t="s">
        <v>286</v>
      </c>
      <c r="B121" s="23"/>
      <c r="C121" s="23"/>
      <c r="D121" s="23"/>
      <c r="E121" s="23"/>
      <c r="F121" s="23"/>
      <c r="G121" s="23"/>
      <c r="H121" s="23"/>
      <c r="I121" s="23"/>
      <c r="J121" s="23"/>
      <c r="K121" s="23"/>
      <c r="L121" s="23"/>
      <c r="M121" s="23"/>
      <c r="N121" s="23"/>
      <c r="O121" s="23"/>
      <c r="P121" s="23"/>
      <c r="Q121" s="23"/>
      <c r="R121" s="23"/>
      <c r="S121" s="23"/>
    </row>
    <row r="122" customFormat="false" ht="25.5" hidden="false" customHeight="true" outlineLevel="0" collapsed="false">
      <c r="A122" s="23" t="s">
        <v>287</v>
      </c>
      <c r="B122" s="23"/>
      <c r="C122" s="23"/>
      <c r="D122" s="23"/>
      <c r="E122" s="23"/>
      <c r="F122" s="23"/>
      <c r="G122" s="23"/>
      <c r="H122" s="23"/>
      <c r="I122" s="23"/>
      <c r="J122" s="23"/>
      <c r="K122" s="23"/>
      <c r="L122" s="23"/>
      <c r="M122" s="23"/>
      <c r="N122" s="23"/>
      <c r="O122" s="23"/>
      <c r="P122" s="23"/>
      <c r="Q122" s="23"/>
      <c r="R122" s="23"/>
      <c r="S122" s="23"/>
    </row>
    <row r="123" customFormat="false" ht="25.5" hidden="false" customHeight="true" outlineLevel="0" collapsed="false">
      <c r="A123" s="23" t="s">
        <v>288</v>
      </c>
      <c r="B123" s="23"/>
      <c r="C123" s="23"/>
      <c r="D123" s="23"/>
      <c r="E123" s="23"/>
      <c r="F123" s="23"/>
      <c r="G123" s="23"/>
      <c r="H123" s="23"/>
      <c r="I123" s="23"/>
      <c r="J123" s="23"/>
      <c r="K123" s="23"/>
      <c r="L123" s="23"/>
      <c r="M123" s="23"/>
      <c r="N123" s="23"/>
      <c r="O123" s="23"/>
      <c r="P123" s="23"/>
      <c r="Q123" s="23"/>
      <c r="R123" s="23"/>
      <c r="S123" s="23"/>
    </row>
    <row r="124" customFormat="false" ht="25.5" hidden="false" customHeight="true" outlineLevel="0" collapsed="false">
      <c r="A124" s="23" t="s">
        <v>289</v>
      </c>
      <c r="B124" s="23"/>
      <c r="C124" s="23"/>
      <c r="D124" s="23"/>
      <c r="E124" s="23"/>
      <c r="F124" s="23"/>
      <c r="G124" s="23"/>
      <c r="H124" s="23"/>
      <c r="I124" s="23"/>
      <c r="J124" s="23"/>
      <c r="K124" s="23"/>
      <c r="L124" s="23"/>
      <c r="M124" s="23"/>
      <c r="N124" s="23"/>
      <c r="O124" s="23"/>
      <c r="P124" s="23"/>
      <c r="Q124" s="23"/>
      <c r="R124" s="23"/>
      <c r="S124" s="23"/>
    </row>
    <row r="125" customFormat="false" ht="25.5" hidden="false" customHeight="true" outlineLevel="0" collapsed="false">
      <c r="A125" s="23" t="s">
        <v>290</v>
      </c>
      <c r="B125" s="23"/>
      <c r="C125" s="23"/>
      <c r="D125" s="23"/>
      <c r="E125" s="23"/>
      <c r="F125" s="23"/>
      <c r="G125" s="23"/>
      <c r="H125" s="23"/>
      <c r="I125" s="23"/>
      <c r="J125" s="23"/>
      <c r="K125" s="23"/>
      <c r="L125" s="23"/>
      <c r="M125" s="23"/>
      <c r="N125" s="23"/>
      <c r="O125" s="23"/>
      <c r="P125" s="23"/>
      <c r="Q125" s="23"/>
      <c r="R125" s="23"/>
      <c r="S125" s="23"/>
    </row>
  </sheetData>
  <autoFilter ref="A4:S114"/>
  <mergeCells count="8">
    <mergeCell ref="A118:S118"/>
    <mergeCell ref="A119:S119"/>
    <mergeCell ref="A120:S120"/>
    <mergeCell ref="A121:S121"/>
    <mergeCell ref="A122:S122"/>
    <mergeCell ref="A123:S123"/>
    <mergeCell ref="A124:S124"/>
    <mergeCell ref="A125:S1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8" min="3" style="0" width="15"/>
  </cols>
  <sheetData>
    <row r="1" customFormat="false" ht="16.15" hidden="false" customHeight="false" outlineLevel="0" collapsed="false">
      <c r="A1" s="1" t="s">
        <v>291</v>
      </c>
    </row>
    <row r="3" customFormat="false" ht="15" hidden="false" customHeight="true" outlineLevel="0" collapsed="false">
      <c r="A3" s="22" t="s">
        <v>292</v>
      </c>
      <c r="B3" s="24" t="s">
        <v>293</v>
      </c>
      <c r="C3" s="24"/>
      <c r="D3" s="24"/>
      <c r="E3" s="24"/>
      <c r="F3" s="24"/>
    </row>
    <row r="4" customFormat="false" ht="23.85" hidden="false" customHeight="true" outlineLevel="0" collapsed="false">
      <c r="A4" s="22" t="s">
        <v>294</v>
      </c>
      <c r="B4" s="24" t="s">
        <v>295</v>
      </c>
      <c r="C4" s="24"/>
      <c r="D4" s="24"/>
      <c r="E4" s="24"/>
      <c r="F4" s="24"/>
    </row>
    <row r="5" customFormat="false" ht="15" hidden="false" customHeight="true" outlineLevel="0" collapsed="false">
      <c r="A5" s="22" t="s">
        <v>296</v>
      </c>
      <c r="B5" s="24" t="s">
        <v>297</v>
      </c>
      <c r="C5" s="24"/>
      <c r="D5" s="24"/>
      <c r="E5" s="24"/>
      <c r="F5" s="24"/>
    </row>
    <row r="6" customFormat="false" ht="15" hidden="false" customHeight="true" outlineLevel="0" collapsed="false">
      <c r="A6" s="22" t="s">
        <v>298</v>
      </c>
      <c r="B6" s="24" t="s">
        <v>299</v>
      </c>
      <c r="C6" s="24"/>
      <c r="D6" s="24"/>
      <c r="E6" s="24"/>
      <c r="F6" s="24"/>
    </row>
    <row r="7" customFormat="false" ht="15" hidden="false" customHeight="true" outlineLevel="0" collapsed="false">
      <c r="A7" s="22" t="s">
        <v>300</v>
      </c>
      <c r="B7" s="24" t="s">
        <v>301</v>
      </c>
      <c r="C7" s="24"/>
      <c r="D7" s="24"/>
      <c r="E7" s="24"/>
      <c r="F7" s="24"/>
    </row>
    <row r="8" customFormat="false" ht="15" hidden="false" customHeight="true" outlineLevel="0" collapsed="false">
      <c r="A8" s="22" t="s">
        <v>302</v>
      </c>
      <c r="B8" s="24" t="s">
        <v>303</v>
      </c>
      <c r="C8" s="24"/>
      <c r="D8" s="24"/>
      <c r="E8" s="24"/>
      <c r="F8" s="24"/>
    </row>
    <row r="9" customFormat="false" ht="15" hidden="false" customHeight="true" outlineLevel="0" collapsed="false">
      <c r="A9" s="22" t="s">
        <v>304</v>
      </c>
      <c r="B9" s="24" t="s">
        <v>305</v>
      </c>
      <c r="C9" s="24"/>
      <c r="D9" s="24"/>
      <c r="E9" s="24"/>
      <c r="F9" s="24"/>
    </row>
    <row r="10" customFormat="false" ht="15" hidden="false" customHeight="true" outlineLevel="0" collapsed="false">
      <c r="A10" s="22" t="s">
        <v>306</v>
      </c>
      <c r="B10" s="24" t="s">
        <v>307</v>
      </c>
      <c r="C10" s="24"/>
      <c r="D10" s="24"/>
      <c r="E10" s="24"/>
      <c r="F10" s="24"/>
    </row>
    <row r="11" customFormat="false" ht="15" hidden="false" customHeight="true" outlineLevel="0" collapsed="false">
      <c r="A11" s="22" t="s">
        <v>308</v>
      </c>
      <c r="B11" s="24" t="s">
        <v>309</v>
      </c>
      <c r="C11" s="24"/>
      <c r="D11" s="24"/>
      <c r="E11" s="24"/>
      <c r="F11" s="24"/>
    </row>
    <row r="12" customFormat="false" ht="15" hidden="false" customHeight="true" outlineLevel="0" collapsed="false">
      <c r="A12" s="22" t="s">
        <v>310</v>
      </c>
      <c r="B12" s="24" t="s">
        <v>311</v>
      </c>
      <c r="C12" s="24"/>
      <c r="D12" s="24"/>
      <c r="E12" s="24"/>
      <c r="F12" s="24"/>
    </row>
    <row r="13" customFormat="false" ht="15" hidden="false" customHeight="true" outlineLevel="0" collapsed="false">
      <c r="A13" s="22" t="s">
        <v>312</v>
      </c>
      <c r="B13" s="24" t="s">
        <v>313</v>
      </c>
      <c r="C13" s="24"/>
      <c r="D13" s="24"/>
      <c r="E13" s="24"/>
      <c r="F13" s="24"/>
    </row>
    <row r="14" customFormat="false" ht="15" hidden="false" customHeight="true" outlineLevel="0" collapsed="false">
      <c r="A14" s="22" t="s">
        <v>314</v>
      </c>
      <c r="B14" s="24" t="s">
        <v>315</v>
      </c>
      <c r="C14" s="24"/>
      <c r="D14" s="24"/>
      <c r="E14" s="24"/>
      <c r="F14" s="24"/>
    </row>
    <row r="15" customFormat="false" ht="15" hidden="false" customHeight="true" outlineLevel="0" collapsed="false">
      <c r="A15" s="22" t="s">
        <v>316</v>
      </c>
      <c r="B15" s="24" t="s">
        <v>305</v>
      </c>
      <c r="C15" s="24"/>
      <c r="D15" s="24"/>
      <c r="E15" s="24"/>
      <c r="F15" s="24"/>
    </row>
    <row r="16" customFormat="false" ht="15" hidden="false" customHeight="true" outlineLevel="0" collapsed="false">
      <c r="A16" s="22" t="s">
        <v>317</v>
      </c>
      <c r="B16" s="24" t="s">
        <v>318</v>
      </c>
      <c r="C16" s="24"/>
      <c r="D16" s="24"/>
      <c r="E16" s="24"/>
      <c r="F16" s="24"/>
    </row>
    <row r="19" customFormat="false" ht="15" hidden="false" customHeight="false" outlineLevel="0" collapsed="false">
      <c r="A19" s="25" t="s">
        <v>319</v>
      </c>
      <c r="C19" s="25" t="s">
        <v>320</v>
      </c>
      <c r="D19" s="25" t="s">
        <v>321</v>
      </c>
      <c r="E19" s="25" t="s">
        <v>322</v>
      </c>
    </row>
    <row r="20" customFormat="false" ht="15" hidden="false" customHeight="false" outlineLevel="0" collapsed="false">
      <c r="A20" s="26" t="s">
        <v>323</v>
      </c>
      <c r="C20" s="9" t="n">
        <f aca="false">SUM('Line Items'!N5:N114)</f>
        <v>105295.61</v>
      </c>
      <c r="D20" s="7" t="n">
        <v>105295.57</v>
      </c>
      <c r="E20" s="27" t="s">
        <v>324</v>
      </c>
    </row>
    <row r="21" customFormat="false" ht="15" hidden="false" customHeight="false" outlineLevel="0" collapsed="false">
      <c r="A21" s="26" t="s">
        <v>325</v>
      </c>
      <c r="C21" s="9" t="n">
        <f aca="false">ROUND(C20*0.09,2)</f>
        <v>9476.6</v>
      </c>
      <c r="D21" s="7" t="n">
        <v>9476.63</v>
      </c>
      <c r="E21" s="27" t="s">
        <v>326</v>
      </c>
    </row>
    <row r="22" customFormat="false" ht="15" hidden="false" customHeight="false" outlineLevel="0" collapsed="false">
      <c r="A22" s="26" t="s">
        <v>327</v>
      </c>
      <c r="C22" s="9" t="n">
        <f aca="false">ROUND(C20*0.09,2)</f>
        <v>9476.6</v>
      </c>
      <c r="D22" s="7" t="n">
        <v>9476.63</v>
      </c>
      <c r="E22" s="27" t="s">
        <v>328</v>
      </c>
    </row>
    <row r="23" customFormat="false" ht="15" hidden="false" customHeight="false" outlineLevel="0" collapsed="false">
      <c r="A23" s="26" t="s">
        <v>329</v>
      </c>
      <c r="C23" s="9" t="n">
        <f aca="false">C21+C22</f>
        <v>18953.2</v>
      </c>
      <c r="D23" s="7" t="n">
        <v>18953.26</v>
      </c>
      <c r="E23" s="27" t="s">
        <v>330</v>
      </c>
    </row>
    <row r="24" customFormat="false" ht="15" hidden="false" customHeight="false" outlineLevel="0" collapsed="false">
      <c r="A24" s="26" t="s">
        <v>331</v>
      </c>
      <c r="C24" s="7" t="n">
        <v>0</v>
      </c>
      <c r="D24" s="7" t="n">
        <v>0</v>
      </c>
      <c r="E24" s="27" t="s">
        <v>332</v>
      </c>
    </row>
    <row r="25" customFormat="false" ht="15" hidden="false" customHeight="false" outlineLevel="0" collapsed="false">
      <c r="A25" s="26" t="s">
        <v>333</v>
      </c>
      <c r="C25" s="7" t="n">
        <v>0.17</v>
      </c>
      <c r="D25" s="7" t="n">
        <v>0.17</v>
      </c>
      <c r="E25" s="27" t="s">
        <v>332</v>
      </c>
    </row>
    <row r="26" customFormat="false" ht="15" hidden="false" customHeight="false" outlineLevel="0" collapsed="false">
      <c r="A26" s="28" t="s">
        <v>334</v>
      </c>
      <c r="C26" s="29" t="n">
        <f aca="false">C20+C23+C24+C25</f>
        <v>124248.98</v>
      </c>
      <c r="D26" s="29" t="n">
        <v>124249</v>
      </c>
      <c r="E26" s="30" t="s">
        <v>335</v>
      </c>
    </row>
    <row r="27" customFormat="false" ht="15" hidden="false" customHeight="false" outlineLevel="0" collapsed="false">
      <c r="A27" s="22" t="s">
        <v>336</v>
      </c>
      <c r="C27" s="31" t="n">
        <f aca="false">SUM('Line Items'!K5:K114)</f>
        <v>1640</v>
      </c>
      <c r="D27" s="32" t="n">
        <v>1640</v>
      </c>
    </row>
    <row r="30" customFormat="false" ht="15" hidden="false" customHeight="false" outlineLevel="0" collapsed="false">
      <c r="A30" s="33" t="s">
        <v>337</v>
      </c>
    </row>
    <row r="31" customFormat="false" ht="27.75" hidden="false" customHeight="true" outlineLevel="0" collapsed="false">
      <c r="A31" s="34" t="s">
        <v>3</v>
      </c>
      <c r="B31" s="34" t="s">
        <v>338</v>
      </c>
      <c r="C31" s="34" t="s">
        <v>12</v>
      </c>
      <c r="D31" s="34" t="s">
        <v>339</v>
      </c>
      <c r="E31" s="34" t="s">
        <v>340</v>
      </c>
      <c r="F31" s="34" t="s">
        <v>341</v>
      </c>
      <c r="G31" s="34" t="s">
        <v>342</v>
      </c>
      <c r="H31" s="34" t="s">
        <v>343</v>
      </c>
    </row>
    <row r="32" customFormat="false" ht="15" hidden="false" customHeight="false" outlineLevel="0" collapsed="false">
      <c r="A32" s="5" t="s">
        <v>21</v>
      </c>
      <c r="B32" s="35" t="n">
        <f aca="false">COUNTIF('Line Items'!$B$5:$B$114,$A32)</f>
        <v>4</v>
      </c>
      <c r="C32" s="35" t="n">
        <f aca="false">SUMIF('Line Items'!$B$5:$B$114,$A32,'Line Items'!$K$5:$K$114)</f>
        <v>165</v>
      </c>
      <c r="D32" s="9" t="n">
        <f aca="false">SUMPRODUCT(('Line Items'!$B$5:$B$114=$A32)*'Line Items'!$F$5:$F$114*'Line Items'!$K$5:$K$114)</f>
        <v>3705</v>
      </c>
      <c r="E32" s="7" t="n">
        <v>3705</v>
      </c>
      <c r="F32" s="9" t="n">
        <f aca="false">SUMPRODUCT(('Line Items'!$B$5:$B$114=$A32)*'Line Items'!$J$5:$J$114*'Line Items'!$K$5:$K$114)</f>
        <v>2037.75</v>
      </c>
      <c r="G32" s="7" t="n">
        <v>2037.75</v>
      </c>
      <c r="H32" s="9" t="n">
        <f aca="false">SUMIF('Line Items'!$B$5:$B$114,$A32,'Line Items'!$N$5:$N$114)</f>
        <v>1726.91</v>
      </c>
    </row>
    <row r="33" customFormat="false" ht="15" hidden="false" customHeight="false" outlineLevel="0" collapsed="false">
      <c r="A33" s="5" t="s">
        <v>31</v>
      </c>
      <c r="B33" s="35" t="n">
        <f aca="false">COUNTIF('Line Items'!$B$5:$B$114,$A33)</f>
        <v>3</v>
      </c>
      <c r="C33" s="35" t="n">
        <f aca="false">SUMIF('Line Items'!$B$5:$B$114,$A33,'Line Items'!$K$5:$K$114)</f>
        <v>37</v>
      </c>
      <c r="D33" s="9" t="n">
        <f aca="false">SUMPRODUCT(('Line Items'!$B$5:$B$114=$A33)*'Line Items'!$F$5:$F$114*'Line Items'!$K$5:$K$114)</f>
        <v>2516</v>
      </c>
      <c r="E33" s="7" t="n">
        <v>2516</v>
      </c>
      <c r="F33" s="9" t="n">
        <f aca="false">SUMPRODUCT(('Line Items'!$B$5:$B$114=$A33)*'Line Items'!$J$5:$J$114*'Line Items'!$K$5:$K$114)</f>
        <v>2516</v>
      </c>
      <c r="G33" s="7" t="n">
        <v>2516</v>
      </c>
      <c r="H33" s="9" t="n">
        <f aca="false">SUMIF('Line Items'!$B$5:$B$114,$A33,'Line Items'!$N$5:$N$114)</f>
        <v>2132.2</v>
      </c>
    </row>
    <row r="34" customFormat="false" ht="15" hidden="false" customHeight="false" outlineLevel="0" collapsed="false">
      <c r="A34" s="5" t="s">
        <v>39</v>
      </c>
      <c r="B34" s="35" t="n">
        <f aca="false">COUNTIF('Line Items'!$B$5:$B$114,$A34)</f>
        <v>1</v>
      </c>
      <c r="C34" s="35" t="n">
        <f aca="false">SUMIF('Line Items'!$B$5:$B$114,$A34,'Line Items'!$K$5:$K$114)</f>
        <v>20</v>
      </c>
      <c r="D34" s="9" t="n">
        <f aca="false">SUMPRODUCT(('Line Items'!$B$5:$B$114=$A34)*'Line Items'!$F$5:$F$114*'Line Items'!$K$5:$K$114)</f>
        <v>920</v>
      </c>
      <c r="E34" s="7" t="n">
        <v>920</v>
      </c>
      <c r="F34" s="9" t="n">
        <f aca="false">SUMPRODUCT(('Line Items'!$B$5:$B$114=$A34)*'Line Items'!$J$5:$J$114*'Line Items'!$K$5:$K$114)</f>
        <v>920</v>
      </c>
      <c r="G34" s="7" t="n">
        <v>920</v>
      </c>
      <c r="H34" s="9" t="n">
        <f aca="false">SUMIF('Line Items'!$B$5:$B$114,$A34,'Line Items'!$N$5:$N$114)</f>
        <v>779.66</v>
      </c>
    </row>
    <row r="35" customFormat="false" ht="15" hidden="false" customHeight="false" outlineLevel="0" collapsed="false">
      <c r="A35" s="5" t="s">
        <v>42</v>
      </c>
      <c r="B35" s="35" t="n">
        <f aca="false">COUNTIF('Line Items'!$B$5:$B$114,$A35)</f>
        <v>1</v>
      </c>
      <c r="C35" s="35" t="n">
        <f aca="false">SUMIF('Line Items'!$B$5:$B$114,$A35,'Line Items'!$K$5:$K$114)</f>
        <v>2</v>
      </c>
      <c r="D35" s="9" t="n">
        <f aca="false">SUMPRODUCT(('Line Items'!$B$5:$B$114=$A35)*'Line Items'!$F$5:$F$114*'Line Items'!$K$5:$K$114)</f>
        <v>2516</v>
      </c>
      <c r="E35" s="7" t="n">
        <v>2516</v>
      </c>
      <c r="F35" s="9" t="n">
        <f aca="false">SUMPRODUCT(('Line Items'!$B$5:$B$114=$A35)*'Line Items'!$J$5:$J$114*'Line Items'!$K$5:$K$114)</f>
        <v>1635.4</v>
      </c>
      <c r="G35" s="7" t="n">
        <v>1635.4</v>
      </c>
      <c r="H35" s="9" t="n">
        <f aca="false">SUMIF('Line Items'!$B$5:$B$114,$A35,'Line Items'!$N$5:$N$114)</f>
        <v>1385.93</v>
      </c>
    </row>
    <row r="36" customFormat="false" ht="15" hidden="false" customHeight="false" outlineLevel="0" collapsed="false">
      <c r="A36" s="5" t="s">
        <v>45</v>
      </c>
      <c r="B36" s="35" t="n">
        <f aca="false">COUNTIF('Line Items'!$B$5:$B$114,$A36)</f>
        <v>2</v>
      </c>
      <c r="C36" s="35" t="n">
        <f aca="false">SUMIF('Line Items'!$B$5:$B$114,$A36,'Line Items'!$K$5:$K$114)</f>
        <v>60</v>
      </c>
      <c r="D36" s="9" t="n">
        <f aca="false">SUMPRODUCT(('Line Items'!$B$5:$B$114=$A36)*'Line Items'!$F$5:$F$114*'Line Items'!$K$5:$K$114)</f>
        <v>4380</v>
      </c>
      <c r="E36" s="7" t="n">
        <v>4380</v>
      </c>
      <c r="F36" s="9" t="n">
        <f aca="false">SUMPRODUCT(('Line Items'!$B$5:$B$114=$A36)*'Line Items'!$J$5:$J$114*'Line Items'!$K$5:$K$114)</f>
        <v>4380</v>
      </c>
      <c r="G36" s="7" t="n">
        <v>4380</v>
      </c>
      <c r="H36" s="9" t="n">
        <f aca="false">SUMIF('Line Items'!$B$5:$B$114,$A36,'Line Items'!$N$5:$N$114)</f>
        <v>3711.86</v>
      </c>
    </row>
    <row r="37" customFormat="false" ht="15" hidden="false" customHeight="false" outlineLevel="0" collapsed="false">
      <c r="A37" s="5" t="s">
        <v>51</v>
      </c>
      <c r="B37" s="35" t="n">
        <f aca="false">COUNTIF('Line Items'!$B$5:$B$114,$A37)</f>
        <v>1</v>
      </c>
      <c r="C37" s="35" t="n">
        <f aca="false">SUMIF('Line Items'!$B$5:$B$114,$A37,'Line Items'!$K$5:$K$114)</f>
        <v>60</v>
      </c>
      <c r="D37" s="9" t="n">
        <f aca="false">SUMPRODUCT(('Line Items'!$B$5:$B$114=$A37)*'Line Items'!$F$5:$F$114*'Line Items'!$K$5:$K$114)</f>
        <v>3240</v>
      </c>
      <c r="E37" s="7" t="n">
        <v>3240</v>
      </c>
      <c r="F37" s="9" t="n">
        <f aca="false">SUMPRODUCT(('Line Items'!$B$5:$B$114=$A37)*'Line Items'!$J$5:$J$114*'Line Items'!$K$5:$K$114)</f>
        <v>1879.2</v>
      </c>
      <c r="G37" s="7" t="n">
        <v>1879.2</v>
      </c>
      <c r="H37" s="9" t="n">
        <f aca="false">SUMIF('Line Items'!$B$5:$B$114,$A37,'Line Items'!$N$5:$N$114)</f>
        <v>1592.54</v>
      </c>
    </row>
    <row r="38" customFormat="false" ht="15" hidden="false" customHeight="false" outlineLevel="0" collapsed="false">
      <c r="A38" s="5" t="s">
        <v>55</v>
      </c>
      <c r="B38" s="35" t="n">
        <f aca="false">COUNTIF('Line Items'!$B$5:$B$114,$A38)</f>
        <v>2</v>
      </c>
      <c r="C38" s="35" t="n">
        <f aca="false">SUMIF('Line Items'!$B$5:$B$114,$A38,'Line Items'!$K$5:$K$114)</f>
        <v>25</v>
      </c>
      <c r="D38" s="9" t="n">
        <f aca="false">SUMPRODUCT(('Line Items'!$B$5:$B$114=$A38)*'Line Items'!$F$5:$F$114*'Line Items'!$K$5:$K$114)</f>
        <v>2560</v>
      </c>
      <c r="E38" s="7" t="n">
        <v>2560</v>
      </c>
      <c r="F38" s="9" t="n">
        <f aca="false">SUMPRODUCT(('Line Items'!$B$5:$B$114=$A38)*'Line Items'!$J$5:$J$114*'Line Items'!$K$5:$K$114)</f>
        <v>1536</v>
      </c>
      <c r="G38" s="7" t="n">
        <v>1536</v>
      </c>
      <c r="H38" s="9" t="n">
        <f aca="false">SUMIF('Line Items'!$B$5:$B$114,$A38,'Line Items'!$N$5:$N$114)</f>
        <v>1301.7</v>
      </c>
    </row>
    <row r="39" customFormat="false" ht="15" hidden="false" customHeight="false" outlineLevel="0" collapsed="false">
      <c r="A39" s="5" t="s">
        <v>60</v>
      </c>
      <c r="B39" s="35" t="n">
        <f aca="false">COUNTIF('Line Items'!$B$5:$B$114,$A39)</f>
        <v>7</v>
      </c>
      <c r="C39" s="35" t="n">
        <f aca="false">SUMIF('Line Items'!$B$5:$B$114,$A39,'Line Items'!$K$5:$K$114)</f>
        <v>37</v>
      </c>
      <c r="D39" s="9" t="n">
        <f aca="false">SUMPRODUCT(('Line Items'!$B$5:$B$114=$A39)*'Line Items'!$F$5:$F$114*'Line Items'!$K$5:$K$114)</f>
        <v>8755</v>
      </c>
      <c r="E39" s="7" t="n">
        <v>8755</v>
      </c>
      <c r="F39" s="9" t="n">
        <f aca="false">SUMPRODUCT(('Line Items'!$B$5:$B$114=$A39)*'Line Items'!$J$5:$J$114*'Line Items'!$K$5:$K$114)</f>
        <v>5690.75</v>
      </c>
      <c r="G39" s="7" t="n">
        <v>5690.75</v>
      </c>
      <c r="H39" s="9" t="n">
        <f aca="false">SUMIF('Line Items'!$B$5:$B$114,$A39,'Line Items'!$N$5:$N$114)</f>
        <v>4822.66</v>
      </c>
    </row>
    <row r="40" customFormat="false" ht="15" hidden="false" customHeight="false" outlineLevel="0" collapsed="false">
      <c r="A40" s="5" t="s">
        <v>75</v>
      </c>
      <c r="B40" s="35" t="n">
        <f aca="false">COUNTIF('Line Items'!$B$5:$B$114,$A40)</f>
        <v>1</v>
      </c>
      <c r="C40" s="35" t="n">
        <f aca="false">SUMIF('Line Items'!$B$5:$B$114,$A40,'Line Items'!$K$5:$K$114)</f>
        <v>50</v>
      </c>
      <c r="D40" s="9" t="n">
        <f aca="false">SUMPRODUCT(('Line Items'!$B$5:$B$114=$A40)*'Line Items'!$F$5:$F$114*'Line Items'!$K$5:$K$114)</f>
        <v>2900</v>
      </c>
      <c r="E40" s="7" t="n">
        <v>2900</v>
      </c>
      <c r="F40" s="9" t="n">
        <f aca="false">SUMPRODUCT(('Line Items'!$B$5:$B$114=$A40)*'Line Items'!$J$5:$J$114*'Line Items'!$K$5:$K$114)</f>
        <v>2900</v>
      </c>
      <c r="G40" s="7" t="n">
        <v>2900</v>
      </c>
      <c r="H40" s="9" t="n">
        <f aca="false">SUMIF('Line Items'!$B$5:$B$114,$A40,'Line Items'!$N$5:$N$114)</f>
        <v>2457.63</v>
      </c>
    </row>
    <row r="41" customFormat="false" ht="15" hidden="false" customHeight="false" outlineLevel="0" collapsed="false">
      <c r="A41" s="5" t="s">
        <v>78</v>
      </c>
      <c r="B41" s="35" t="n">
        <f aca="false">COUNTIF('Line Items'!$B$5:$B$114,$A41)</f>
        <v>4</v>
      </c>
      <c r="C41" s="35" t="n">
        <f aca="false">SUMIF('Line Items'!$B$5:$B$114,$A41,'Line Items'!$K$5:$K$114)</f>
        <v>25</v>
      </c>
      <c r="D41" s="9" t="n">
        <f aca="false">SUMPRODUCT(('Line Items'!$B$5:$B$114=$A41)*'Line Items'!$F$5:$F$114*'Line Items'!$K$5:$K$114)</f>
        <v>3184</v>
      </c>
      <c r="E41" s="7" t="n">
        <v>3184</v>
      </c>
      <c r="F41" s="9" t="n">
        <f aca="false">SUMPRODUCT(('Line Items'!$B$5:$B$114=$A41)*'Line Items'!$J$5:$J$114*'Line Items'!$K$5:$K$114)</f>
        <v>2292.48</v>
      </c>
      <c r="G41" s="7" t="n">
        <v>2292.48</v>
      </c>
      <c r="H41" s="9" t="n">
        <f aca="false">SUMIF('Line Items'!$B$5:$B$114,$A41,'Line Items'!$N$5:$N$114)</f>
        <v>1942.79</v>
      </c>
    </row>
    <row r="42" customFormat="false" ht="15" hidden="false" customHeight="false" outlineLevel="0" collapsed="false">
      <c r="A42" s="5" t="s">
        <v>88</v>
      </c>
      <c r="B42" s="35" t="n">
        <f aca="false">COUNTIF('Line Items'!$B$5:$B$114,$A42)</f>
        <v>1</v>
      </c>
      <c r="C42" s="35" t="n">
        <f aca="false">SUMIF('Line Items'!$B$5:$B$114,$A42,'Line Items'!$K$5:$K$114)</f>
        <v>3</v>
      </c>
      <c r="D42" s="9" t="n">
        <f aca="false">SUMPRODUCT(('Line Items'!$B$5:$B$114=$A42)*'Line Items'!$F$5:$F$114*'Line Items'!$K$5:$K$114)</f>
        <v>1119</v>
      </c>
      <c r="E42" s="7" t="n">
        <v>1119</v>
      </c>
      <c r="F42" s="9" t="n">
        <f aca="false">SUMPRODUCT(('Line Items'!$B$5:$B$114=$A42)*'Line Items'!$J$5:$J$114*'Line Items'!$K$5:$K$114)</f>
        <v>760.92</v>
      </c>
      <c r="G42" s="7" t="n">
        <v>760.92</v>
      </c>
      <c r="H42" s="9" t="n">
        <f aca="false">SUMIF('Line Items'!$B$5:$B$114,$A42,'Line Items'!$N$5:$N$114)</f>
        <v>644.85</v>
      </c>
    </row>
    <row r="43" customFormat="false" ht="15" hidden="false" customHeight="false" outlineLevel="0" collapsed="false">
      <c r="A43" s="5" t="s">
        <v>91</v>
      </c>
      <c r="B43" s="35" t="n">
        <f aca="false">COUNTIF('Line Items'!$B$5:$B$114,$A43)</f>
        <v>1</v>
      </c>
      <c r="C43" s="35" t="n">
        <f aca="false">SUMIF('Line Items'!$B$5:$B$114,$A43,'Line Items'!$K$5:$K$114)</f>
        <v>4</v>
      </c>
      <c r="D43" s="9" t="n">
        <f aca="false">SUMPRODUCT(('Line Items'!$B$5:$B$114=$A43)*'Line Items'!$F$5:$F$114*'Line Items'!$K$5:$K$114)</f>
        <v>1796</v>
      </c>
      <c r="E43" s="7" t="n">
        <v>1796</v>
      </c>
      <c r="F43" s="9" t="n">
        <f aca="false">SUMPRODUCT(('Line Items'!$B$5:$B$114=$A43)*'Line Items'!$J$5:$J$114*'Line Items'!$K$5:$K$114)</f>
        <v>1293.12</v>
      </c>
      <c r="G43" s="7" t="n">
        <v>1293.12</v>
      </c>
      <c r="H43" s="9" t="n">
        <f aca="false">SUMIF('Line Items'!$B$5:$B$114,$A43,'Line Items'!$N$5:$N$114)</f>
        <v>1095.86</v>
      </c>
    </row>
    <row r="44" customFormat="false" ht="15" hidden="false" customHeight="false" outlineLevel="0" collapsed="false">
      <c r="A44" s="5" t="s">
        <v>94</v>
      </c>
      <c r="B44" s="35" t="n">
        <f aca="false">COUNTIF('Line Items'!$B$5:$B$114,$A44)</f>
        <v>5</v>
      </c>
      <c r="C44" s="35" t="n">
        <f aca="false">SUMIF('Line Items'!$B$5:$B$114,$A44,'Line Items'!$K$5:$K$114)</f>
        <v>115</v>
      </c>
      <c r="D44" s="9" t="n">
        <f aca="false">SUMPRODUCT(('Line Items'!$B$5:$B$114=$A44)*'Line Items'!$F$5:$F$114*'Line Items'!$K$5:$K$114)</f>
        <v>2460</v>
      </c>
      <c r="E44" s="7" t="n">
        <v>2460</v>
      </c>
      <c r="F44" s="9" t="n">
        <f aca="false">SUMPRODUCT(('Line Items'!$B$5:$B$114=$A44)*'Line Items'!$J$5:$J$114*'Line Items'!$K$5:$K$114)</f>
        <v>1402.2</v>
      </c>
      <c r="G44" s="7" t="n">
        <v>1402.2</v>
      </c>
      <c r="H44" s="9" t="n">
        <f aca="false">SUMIF('Line Items'!$B$5:$B$114,$A44,'Line Items'!$N$5:$N$114)</f>
        <v>1188.31</v>
      </c>
    </row>
    <row r="45" customFormat="false" ht="15" hidden="false" customHeight="false" outlineLevel="0" collapsed="false">
      <c r="A45" s="5" t="s">
        <v>105</v>
      </c>
      <c r="B45" s="35" t="n">
        <f aca="false">COUNTIF('Line Items'!$B$5:$B$114,$A45)</f>
        <v>1</v>
      </c>
      <c r="C45" s="35" t="n">
        <f aca="false">SUMIF('Line Items'!$B$5:$B$114,$A45,'Line Items'!$K$5:$K$114)</f>
        <v>5</v>
      </c>
      <c r="D45" s="9" t="n">
        <f aca="false">SUMPRODUCT(('Line Items'!$B$5:$B$114=$A45)*'Line Items'!$F$5:$F$114*'Line Items'!$K$5:$K$114)</f>
        <v>1030</v>
      </c>
      <c r="E45" s="7" t="n">
        <v>1030</v>
      </c>
      <c r="F45" s="9" t="n">
        <f aca="false">SUMPRODUCT(('Line Items'!$B$5:$B$114=$A45)*'Line Items'!$J$5:$J$114*'Line Items'!$K$5:$K$114)</f>
        <v>618</v>
      </c>
      <c r="G45" s="7" t="n">
        <v>618</v>
      </c>
      <c r="H45" s="9" t="n">
        <f aca="false">SUMIF('Line Items'!$B$5:$B$114,$A45,'Line Items'!$N$5:$N$114)</f>
        <v>523.73</v>
      </c>
    </row>
    <row r="46" customFormat="false" ht="15" hidden="false" customHeight="false" outlineLevel="0" collapsed="false">
      <c r="A46" s="5" t="s">
        <v>110</v>
      </c>
      <c r="B46" s="35" t="n">
        <f aca="false">COUNTIF('Line Items'!$B$5:$B$114,$A46)</f>
        <v>1</v>
      </c>
      <c r="C46" s="35" t="n">
        <f aca="false">SUMIF('Line Items'!$B$5:$B$114,$A46,'Line Items'!$K$5:$K$114)</f>
        <v>40</v>
      </c>
      <c r="D46" s="9" t="n">
        <f aca="false">SUMPRODUCT(('Line Items'!$B$5:$B$114=$A46)*'Line Items'!$F$5:$F$114*'Line Items'!$K$5:$K$114)</f>
        <v>6400</v>
      </c>
      <c r="E46" s="7" t="n">
        <v>6400</v>
      </c>
      <c r="F46" s="9" t="n">
        <f aca="false">SUMPRODUCT(('Line Items'!$B$5:$B$114=$A46)*'Line Items'!$J$5:$J$114*'Line Items'!$K$5:$K$114)</f>
        <v>4608</v>
      </c>
      <c r="G46" s="7" t="n">
        <v>4608</v>
      </c>
      <c r="H46" s="9" t="n">
        <f aca="false">SUMIF('Line Items'!$B$5:$B$114,$A46,'Line Items'!$N$5:$N$114)</f>
        <v>3905.08</v>
      </c>
    </row>
    <row r="47" customFormat="false" ht="15" hidden="false" customHeight="false" outlineLevel="0" collapsed="false">
      <c r="A47" s="5" t="s">
        <v>113</v>
      </c>
      <c r="B47" s="35" t="n">
        <f aca="false">COUNTIF('Line Items'!$B$5:$B$114,$A47)</f>
        <v>3</v>
      </c>
      <c r="C47" s="35" t="n">
        <f aca="false">SUMIF('Line Items'!$B$5:$B$114,$A47,'Line Items'!$K$5:$K$114)</f>
        <v>11</v>
      </c>
      <c r="D47" s="9" t="n">
        <f aca="false">SUMPRODUCT(('Line Items'!$B$5:$B$114=$A47)*'Line Items'!$F$5:$F$114*'Line Items'!$K$5:$K$114)</f>
        <v>3140</v>
      </c>
      <c r="E47" s="7" t="n">
        <v>3140</v>
      </c>
      <c r="F47" s="9" t="n">
        <f aca="false">SUMPRODUCT(('Line Items'!$B$5:$B$114=$A47)*'Line Items'!$J$5:$J$114*'Line Items'!$K$5:$K$114)</f>
        <v>1821.2</v>
      </c>
      <c r="G47" s="7" t="n">
        <v>1821.2</v>
      </c>
      <c r="H47" s="9" t="n">
        <f aca="false">SUMIF('Line Items'!$B$5:$B$114,$A47,'Line Items'!$N$5:$N$114)</f>
        <v>1543.38</v>
      </c>
    </row>
    <row r="48" customFormat="false" ht="15" hidden="false" customHeight="false" outlineLevel="0" collapsed="false">
      <c r="A48" s="5" t="s">
        <v>121</v>
      </c>
      <c r="B48" s="35" t="n">
        <f aca="false">COUNTIF('Line Items'!$B$5:$B$114,$A48)</f>
        <v>29</v>
      </c>
      <c r="C48" s="35" t="n">
        <f aca="false">SUMIF('Line Items'!$B$5:$B$114,$A48,'Line Items'!$K$5:$K$114)</f>
        <v>122</v>
      </c>
      <c r="D48" s="9" t="n">
        <f aca="false">SUMPRODUCT(('Line Items'!$B$5:$B$114=$A48)*'Line Items'!$F$5:$F$114*'Line Items'!$K$5:$K$114)</f>
        <v>72940</v>
      </c>
      <c r="E48" s="7" t="n">
        <v>72940</v>
      </c>
      <c r="F48" s="9" t="n">
        <f aca="false">SUMPRODUCT(('Line Items'!$B$5:$B$114=$A48)*'Line Items'!$J$5:$J$114*'Line Items'!$K$5:$K$114)</f>
        <v>45222.8</v>
      </c>
      <c r="G48" s="7" t="n">
        <v>45222.8</v>
      </c>
      <c r="H48" s="9" t="n">
        <f aca="false">SUMIF('Line Items'!$B$5:$B$114,$A48,'Line Items'!$N$5:$N$114)</f>
        <v>38324.41</v>
      </c>
    </row>
    <row r="49" customFormat="false" ht="15" hidden="false" customHeight="false" outlineLevel="0" collapsed="false">
      <c r="A49" s="5" t="s">
        <v>181</v>
      </c>
      <c r="B49" s="35" t="n">
        <f aca="false">COUNTIF('Line Items'!$B$5:$B$114,$A49)</f>
        <v>2</v>
      </c>
      <c r="C49" s="35" t="n">
        <f aca="false">SUMIF('Line Items'!$B$5:$B$114,$A49,'Line Items'!$K$5:$K$114)</f>
        <v>35</v>
      </c>
      <c r="D49" s="9" t="n">
        <f aca="false">SUMPRODUCT(('Line Items'!$B$5:$B$114=$A49)*'Line Items'!$F$5:$F$114*'Line Items'!$K$5:$K$114)</f>
        <v>1250</v>
      </c>
      <c r="E49" s="7" t="n">
        <v>1250</v>
      </c>
      <c r="F49" s="9" t="n">
        <f aca="false">SUMPRODUCT(('Line Items'!$B$5:$B$114=$A49)*'Line Items'!$J$5:$J$114*'Line Items'!$K$5:$K$114)</f>
        <v>725</v>
      </c>
      <c r="G49" s="7" t="n">
        <v>725</v>
      </c>
      <c r="H49" s="9" t="n">
        <f aca="false">SUMIF('Line Items'!$B$5:$B$114,$A49,'Line Items'!$N$5:$N$114)</f>
        <v>614.41</v>
      </c>
    </row>
    <row r="50" customFormat="false" ht="15" hidden="false" customHeight="false" outlineLevel="0" collapsed="false">
      <c r="A50" s="5" t="s">
        <v>187</v>
      </c>
      <c r="B50" s="35" t="n">
        <f aca="false">COUNTIF('Line Items'!$B$5:$B$114,$A50)</f>
        <v>1</v>
      </c>
      <c r="C50" s="35" t="n">
        <f aca="false">SUMIF('Line Items'!$B$5:$B$114,$A50,'Line Items'!$K$5:$K$114)</f>
        <v>10</v>
      </c>
      <c r="D50" s="9" t="n">
        <f aca="false">SUMPRODUCT(('Line Items'!$B$5:$B$114=$A50)*'Line Items'!$F$5:$F$114*'Line Items'!$K$5:$K$114)</f>
        <v>2400</v>
      </c>
      <c r="E50" s="7" t="n">
        <v>2400</v>
      </c>
      <c r="F50" s="9" t="n">
        <f aca="false">SUMPRODUCT(('Line Items'!$B$5:$B$114=$A50)*'Line Items'!$J$5:$J$114*'Line Items'!$K$5:$K$114)</f>
        <v>2400</v>
      </c>
      <c r="G50" s="7" t="n">
        <v>2400</v>
      </c>
      <c r="H50" s="9" t="n">
        <f aca="false">SUMIF('Line Items'!$B$5:$B$114,$A50,'Line Items'!$N$5:$N$114)</f>
        <v>2033.9</v>
      </c>
    </row>
    <row r="51" customFormat="false" ht="15" hidden="false" customHeight="false" outlineLevel="0" collapsed="false">
      <c r="A51" s="5" t="s">
        <v>190</v>
      </c>
      <c r="B51" s="35" t="n">
        <f aca="false">COUNTIF('Line Items'!$B$5:$B$114,$A51)</f>
        <v>17</v>
      </c>
      <c r="C51" s="35" t="n">
        <f aca="false">SUMIF('Line Items'!$B$5:$B$114,$A51,'Line Items'!$K$5:$K$114)</f>
        <v>569</v>
      </c>
      <c r="D51" s="9" t="n">
        <f aca="false">SUMPRODUCT(('Line Items'!$B$5:$B$114=$A51)*'Line Items'!$F$5:$F$114*'Line Items'!$K$5:$K$114)</f>
        <v>17238</v>
      </c>
      <c r="E51" s="7" t="n">
        <v>17238</v>
      </c>
      <c r="F51" s="9" t="n">
        <f aca="false">SUMPRODUCT(('Line Items'!$B$5:$B$114=$A51)*'Line Items'!$J$5:$J$114*'Line Items'!$K$5:$K$114)</f>
        <v>9480.9</v>
      </c>
      <c r="G51" s="7" t="n">
        <v>9480.9</v>
      </c>
      <c r="H51" s="9" t="n">
        <f aca="false">SUMIF('Line Items'!$B$5:$B$114,$A51,'Line Items'!$N$5:$N$114)</f>
        <v>8034.64</v>
      </c>
    </row>
    <row r="52" customFormat="false" ht="15" hidden="false" customHeight="false" outlineLevel="0" collapsed="false">
      <c r="A52" s="5" t="s">
        <v>225</v>
      </c>
      <c r="B52" s="35" t="n">
        <f aca="false">COUNTIF('Line Items'!$B$5:$B$114,$A52)</f>
        <v>4</v>
      </c>
      <c r="C52" s="35" t="n">
        <f aca="false">SUMIF('Line Items'!$B$5:$B$114,$A52,'Line Items'!$K$5:$K$114)</f>
        <v>16</v>
      </c>
      <c r="D52" s="9" t="n">
        <f aca="false">SUMPRODUCT(('Line Items'!$B$5:$B$114=$A52)*'Line Items'!$F$5:$F$114*'Line Items'!$K$5:$K$114)</f>
        <v>3480</v>
      </c>
      <c r="E52" s="7" t="n">
        <v>3480</v>
      </c>
      <c r="F52" s="9" t="n">
        <f aca="false">SUMPRODUCT(('Line Items'!$B$5:$B$114=$A52)*'Line Items'!$J$5:$J$114*'Line Items'!$K$5:$K$114)</f>
        <v>2262</v>
      </c>
      <c r="G52" s="7" t="n">
        <v>2262</v>
      </c>
      <c r="H52" s="9" t="n">
        <f aca="false">SUMIF('Line Items'!$B$5:$B$114,$A52,'Line Items'!$N$5:$N$114)</f>
        <v>1916.95</v>
      </c>
    </row>
    <row r="53" customFormat="false" ht="15" hidden="false" customHeight="false" outlineLevel="0" collapsed="false">
      <c r="A53" s="5" t="s">
        <v>236</v>
      </c>
      <c r="B53" s="35" t="n">
        <f aca="false">COUNTIF('Line Items'!$B$5:$B$114,$A53)</f>
        <v>10</v>
      </c>
      <c r="C53" s="35" t="n">
        <f aca="false">SUMIF('Line Items'!$B$5:$B$114,$A53,'Line Items'!$K$5:$K$114)</f>
        <v>132</v>
      </c>
      <c r="D53" s="9" t="n">
        <f aca="false">SUMPRODUCT(('Line Items'!$B$5:$B$114=$A53)*'Line Items'!$F$5:$F$114*'Line Items'!$K$5:$K$114)</f>
        <v>31961</v>
      </c>
      <c r="E53" s="7" t="n">
        <v>31961</v>
      </c>
      <c r="F53" s="9" t="n">
        <f aca="false">SUMPRODUCT(('Line Items'!$B$5:$B$114=$A53)*'Line Items'!$J$5:$J$114*'Line Items'!$K$5:$K$114)</f>
        <v>17578.55</v>
      </c>
      <c r="G53" s="7" t="n">
        <v>17578.55</v>
      </c>
      <c r="H53" s="9" t="n">
        <f aca="false">SUMIF('Line Items'!$B$5:$B$114,$A53,'Line Items'!$N$5:$N$114)</f>
        <v>14897.09</v>
      </c>
    </row>
    <row r="54" customFormat="false" ht="15" hidden="false" customHeight="false" outlineLevel="0" collapsed="false">
      <c r="A54" s="5" t="s">
        <v>258</v>
      </c>
      <c r="B54" s="35" t="n">
        <f aca="false">COUNTIF('Line Items'!$B$5:$B$114,$A54)</f>
        <v>1</v>
      </c>
      <c r="C54" s="35" t="n">
        <f aca="false">SUMIF('Line Items'!$B$5:$B$114,$A54,'Line Items'!$K$5:$K$114)</f>
        <v>24</v>
      </c>
      <c r="D54" s="9" t="n">
        <f aca="false">SUMPRODUCT(('Line Items'!$B$5:$B$114=$A54)*'Line Items'!$F$5:$F$114*'Line Items'!$K$5:$K$114)</f>
        <v>2112</v>
      </c>
      <c r="E54" s="7" t="n">
        <v>2112</v>
      </c>
      <c r="F54" s="9" t="n">
        <f aca="false">SUMPRODUCT(('Line Items'!$B$5:$B$114=$A54)*'Line Items'!$J$5:$J$114*'Line Items'!$K$5:$K$114)</f>
        <v>2112</v>
      </c>
      <c r="G54" s="7" t="n">
        <v>2112</v>
      </c>
      <c r="H54" s="9" t="n">
        <f aca="false">SUMIF('Line Items'!$B$5:$B$114,$A54,'Line Items'!$N$5:$N$114)</f>
        <v>1789.83</v>
      </c>
    </row>
    <row r="55" customFormat="false" ht="15" hidden="false" customHeight="false" outlineLevel="0" collapsed="false">
      <c r="A55" s="5" t="s">
        <v>261</v>
      </c>
      <c r="B55" s="35" t="n">
        <f aca="false">COUNTIF('Line Items'!$B$5:$B$114,$A55)</f>
        <v>2</v>
      </c>
      <c r="C55" s="35" t="n">
        <f aca="false">SUMIF('Line Items'!$B$5:$B$114,$A55,'Line Items'!$K$5:$K$114)</f>
        <v>4</v>
      </c>
      <c r="D55" s="9" t="n">
        <f aca="false">SUMPRODUCT(('Line Items'!$B$5:$B$114=$A55)*'Line Items'!$F$5:$F$114*'Line Items'!$K$5:$K$114)</f>
        <v>1780</v>
      </c>
      <c r="E55" s="7" t="n">
        <v>1780</v>
      </c>
      <c r="F55" s="9" t="n">
        <f aca="false">SUMPRODUCT(('Line Items'!$B$5:$B$114=$A55)*'Line Items'!$J$5:$J$114*'Line Items'!$K$5:$K$114)</f>
        <v>1068</v>
      </c>
      <c r="G55" s="7" t="n">
        <v>1068</v>
      </c>
      <c r="H55" s="9" t="n">
        <f aca="false">SUMIF('Line Items'!$B$5:$B$114,$A55,'Line Items'!$N$5:$N$114)</f>
        <v>905.09</v>
      </c>
    </row>
    <row r="56" customFormat="false" ht="15" hidden="false" customHeight="false" outlineLevel="0" collapsed="false">
      <c r="A56" s="5" t="s">
        <v>266</v>
      </c>
      <c r="B56" s="35" t="n">
        <f aca="false">COUNTIF('Line Items'!$B$5:$B$114,$A56)</f>
        <v>2</v>
      </c>
      <c r="C56" s="35" t="n">
        <f aca="false">SUMIF('Line Items'!$B$5:$B$114,$A56,'Line Items'!$K$5:$K$114)</f>
        <v>35</v>
      </c>
      <c r="D56" s="9" t="n">
        <f aca="false">SUMPRODUCT(('Line Items'!$B$5:$B$114=$A56)*'Line Items'!$F$5:$F$114*'Line Items'!$K$5:$K$114)</f>
        <v>2225</v>
      </c>
      <c r="E56" s="7" t="n">
        <v>2225</v>
      </c>
      <c r="F56" s="9" t="n">
        <f aca="false">SUMPRODUCT(('Line Items'!$B$5:$B$114=$A56)*'Line Items'!$J$5:$J$114*'Line Items'!$K$5:$K$114)</f>
        <v>1602</v>
      </c>
      <c r="G56" s="7" t="n">
        <v>1602</v>
      </c>
      <c r="H56" s="9" t="n">
        <f aca="false">SUMIF('Line Items'!$B$5:$B$114,$A56,'Line Items'!$N$5:$N$114)</f>
        <v>1357.63</v>
      </c>
    </row>
    <row r="57" customFormat="false" ht="15" hidden="false" customHeight="false" outlineLevel="0" collapsed="false">
      <c r="A57" s="5" t="s">
        <v>271</v>
      </c>
      <c r="B57" s="35" t="n">
        <f aca="false">COUNTIF('Line Items'!$B$5:$B$114,$A57)</f>
        <v>4</v>
      </c>
      <c r="C57" s="35" t="n">
        <f aca="false">SUMIF('Line Items'!$B$5:$B$114,$A57,'Line Items'!$K$5:$K$114)</f>
        <v>34</v>
      </c>
      <c r="D57" s="9" t="n">
        <f aca="false">SUMPRODUCT(('Line Items'!$B$5:$B$114=$A57)*'Line Items'!$F$5:$F$114*'Line Items'!$K$5:$K$114)</f>
        <v>7648</v>
      </c>
      <c r="E57" s="7" t="n">
        <v>7648</v>
      </c>
      <c r="F57" s="9" t="n">
        <f aca="false">SUMPRODUCT(('Line Items'!$B$5:$B$114=$A57)*'Line Items'!$J$5:$J$114*'Line Items'!$K$5:$K$114)</f>
        <v>5506.56</v>
      </c>
      <c r="G57" s="7" t="n">
        <v>5506.56</v>
      </c>
      <c r="H57" s="9" t="n">
        <f aca="false">SUMIF('Line Items'!$B$5:$B$114,$A57,'Line Items'!$N$5:$N$114)</f>
        <v>4666.57</v>
      </c>
    </row>
    <row r="58" customFormat="false" ht="15" hidden="false" customHeight="false" outlineLevel="0" collapsed="false">
      <c r="A58" s="18" t="s">
        <v>281</v>
      </c>
      <c r="B58" s="20" t="n">
        <f aca="false">SUM(B32:B57)</f>
        <v>110</v>
      </c>
      <c r="C58" s="20" t="n">
        <f aca="false">SUM(C32:C57)</f>
        <v>1640</v>
      </c>
      <c r="D58" s="21" t="n">
        <f aca="false">SUM(D32:D57)</f>
        <v>193655</v>
      </c>
      <c r="E58" s="21" t="n">
        <f aca="false">SUM(E32:E57)</f>
        <v>193655</v>
      </c>
      <c r="F58" s="21" t="n">
        <f aca="false">SUM(F32:F57)</f>
        <v>124248.83</v>
      </c>
      <c r="G58" s="21" t="n">
        <f aca="false">SUM(G32:G57)</f>
        <v>124248.83</v>
      </c>
      <c r="H58" s="21" t="n">
        <f aca="false">SUM(H32:H57)</f>
        <v>105295.61</v>
      </c>
    </row>
    <row r="60" customFormat="false" ht="25.5" hidden="false" customHeight="true" outlineLevel="0" collapsed="false">
      <c r="A60" s="23" t="s">
        <v>344</v>
      </c>
      <c r="B60" s="23"/>
      <c r="C60" s="23"/>
      <c r="D60" s="23"/>
      <c r="E60" s="23"/>
      <c r="F60" s="23"/>
      <c r="G60" s="23"/>
      <c r="H60" s="23"/>
    </row>
    <row r="61" customFormat="false" ht="25.5" hidden="false" customHeight="true" outlineLevel="0" collapsed="false">
      <c r="A61" s="23" t="s">
        <v>345</v>
      </c>
      <c r="B61" s="23"/>
      <c r="C61" s="23"/>
      <c r="D61" s="23"/>
      <c r="E61" s="23"/>
      <c r="F61" s="23"/>
      <c r="G61" s="23"/>
      <c r="H61" s="23"/>
    </row>
    <row r="62" customFormat="false" ht="25.5" hidden="false" customHeight="true" outlineLevel="0" collapsed="false">
      <c r="A62" s="23" t="s">
        <v>346</v>
      </c>
      <c r="B62" s="23"/>
      <c r="C62" s="23"/>
      <c r="D62" s="23"/>
      <c r="E62" s="23"/>
      <c r="F62" s="23"/>
      <c r="G62" s="23"/>
      <c r="H62" s="23"/>
    </row>
  </sheetData>
  <mergeCells count="17">
    <mergeCell ref="B3:F3"/>
    <mergeCell ref="B4:F4"/>
    <mergeCell ref="B5:F5"/>
    <mergeCell ref="B6:F6"/>
    <mergeCell ref="B7:F7"/>
    <mergeCell ref="B8:F8"/>
    <mergeCell ref="B9:F9"/>
    <mergeCell ref="B10:F10"/>
    <mergeCell ref="B11:F11"/>
    <mergeCell ref="B12:F12"/>
    <mergeCell ref="B13:F13"/>
    <mergeCell ref="B14:F14"/>
    <mergeCell ref="B15:F15"/>
    <mergeCell ref="B16:F16"/>
    <mergeCell ref="A60:H60"/>
    <mergeCell ref="A61:H61"/>
    <mergeCell ref="A62:H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2026-08-31T21:29:49Z</dcterms:created>
  <dc:creator>openpyxl</dc:creator>
  <dc:description/>
  <dc:language>en-US</dc:language>
  <cp:lastModifiedBy/>
  <dcterms:modified xsi:type="dcterms:W3CDTF">2026-08-31T21:29:49Z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