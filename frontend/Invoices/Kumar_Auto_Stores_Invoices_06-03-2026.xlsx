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ne Items" sheetId="1" state="visible" r:id="rId3"/>
    <sheet name="Invoice Summary" sheetId="2" state="visible" r:id="rId4"/>
    <sheet name="Brand Summary" sheetId="3" state="visible" r:id="rId5"/>
    <sheet name="Notes" sheetId="4" state="visible" r:id="rId6"/>
  </sheets>
  <definedNames>
    <definedName function="false" hidden="true" localSheetId="0" name="_xlnm._FilterDatabase" vbProcedure="false">'Line Items'!$A$1:$W$226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<sst xmlns="http://schemas.openxmlformats.org/spreadsheetml/2006/main" count="1694" uniqueCount="579">
  <si>
    <t xml:space="preserve">Invoice No</t>
  </si>
  <si>
    <t xml:space="preserve">Invoice Date</t>
  </si>
  <si>
    <t xml:space="preserve">Brand / Group</t>
  </si>
  <si>
    <t xml:space="preserve">S.No</t>
  </si>
  <si>
    <t xml:space="preserve">Item Code</t>
  </si>
  <si>
    <t xml:space="preserve">Description</t>
  </si>
  <si>
    <t xml:space="preserve">HSN Code</t>
  </si>
  <si>
    <t xml:space="preserve">MRP</t>
  </si>
  <si>
    <t xml:space="preserve">Qty</t>
  </si>
  <si>
    <t xml:space="preserve">Unit</t>
  </si>
  <si>
    <t xml:space="preserve">Disc %</t>
  </si>
  <si>
    <t xml:space="preserve">Rate</t>
  </si>
  <si>
    <t xml:space="preserve">Taxable Amount</t>
  </si>
  <si>
    <t xml:space="preserve">CGST %</t>
  </si>
  <si>
    <t xml:space="preserve">CGST Amt</t>
  </si>
  <si>
    <t xml:space="preserve">SGST %</t>
  </si>
  <si>
    <t xml:space="preserve">SGST Amt</t>
  </si>
  <si>
    <t xml:space="preserve">Line Total (Incl. GST)</t>
  </si>
  <si>
    <t xml:space="preserve">MRP Value (Gross)</t>
  </si>
  <si>
    <t xml:space="preserve">Rate Check</t>
  </si>
  <si>
    <t xml:space="preserve">Amount Check</t>
  </si>
  <si>
    <t xml:space="preserve">Variance</t>
  </si>
  <si>
    <t xml:space="preserve">Flag</t>
  </si>
  <si>
    <t xml:space="preserve">5561GS</t>
  </si>
  <si>
    <t xml:space="preserve">06/03/2026</t>
  </si>
  <si>
    <t xml:space="preserve">GEANARAL</t>
  </si>
  <si>
    <t xml:space="preserve">RT-175</t>
  </si>
  <si>
    <t xml:space="preserve">RMP FORK OIL 175 ML</t>
  </si>
  <si>
    <t xml:space="preserve">85122010</t>
  </si>
  <si>
    <t xml:space="preserve">PC</t>
  </si>
  <si>
    <t xml:space="preserve">NV</t>
  </si>
  <si>
    <t xml:space="preserve">NAJ235</t>
  </si>
  <si>
    <t xml:space="preserve">AIR FILTER PLEASURE</t>
  </si>
  <si>
    <t xml:space="preserve">40169330</t>
  </si>
  <si>
    <t xml:space="preserve">NRM001</t>
  </si>
  <si>
    <t xml:space="preserve">AIR FILTER XL SUPER</t>
  </si>
  <si>
    <t xml:space="preserve">FCC</t>
  </si>
  <si>
    <t xml:space="preserve">FCC-016A</t>
  </si>
  <si>
    <t xml:space="preserve">HH CLUCH ASSY FCC</t>
  </si>
  <si>
    <t xml:space="preserve">8714</t>
  </si>
  <si>
    <t xml:space="preserve">SET</t>
  </si>
  <si>
    <t xml:space="preserve">FCC-125</t>
  </si>
  <si>
    <t xml:space="preserve">GLAMAR CLUTCH ASSY FCC</t>
  </si>
  <si>
    <t xml:space="preserve">FCC-SHI</t>
  </si>
  <si>
    <t xml:space="preserve">SHINE CLUTCH ASSY</t>
  </si>
  <si>
    <t xml:space="preserve">87141090</t>
  </si>
  <si>
    <t xml:space="preserve">FCC-SHI6</t>
  </si>
  <si>
    <t xml:space="preserve">SHINE CLUTCH ASSY BS6</t>
  </si>
  <si>
    <t xml:space="preserve">FCC-UNI</t>
  </si>
  <si>
    <t xml:space="preserve">UNICORN CLUTCH ASSY FCC</t>
  </si>
  <si>
    <t xml:space="preserve">FCC-UNI150</t>
  </si>
  <si>
    <t xml:space="preserve">UNICORN CLUCH ASSY 150 BS6</t>
  </si>
  <si>
    <t xml:space="preserve">LUMAX IND</t>
  </si>
  <si>
    <t xml:space="preserve">216-HLA-DT</t>
  </si>
  <si>
    <t xml:space="preserve">H L ASSY HF-DELUXE</t>
  </si>
  <si>
    <t xml:space="preserve">216-HLA-G</t>
  </si>
  <si>
    <t xml:space="preserve">H/L ASSY GLAMOUR</t>
  </si>
  <si>
    <t xml:space="preserve">216-HLA-SP</t>
  </si>
  <si>
    <t xml:space="preserve">HL ASSY SPLDR PLUS</t>
  </si>
  <si>
    <t xml:space="preserve">216-HLU-GF</t>
  </si>
  <si>
    <t xml:space="preserve">H L UNIT GLAMR FI O/M</t>
  </si>
  <si>
    <t xml:space="preserve">216-HLU-XT</t>
  </si>
  <si>
    <t xml:space="preserve">CBZ X H L ASSY</t>
  </si>
  <si>
    <t xml:space="preserve">216-HLU-N</t>
  </si>
  <si>
    <t xml:space="preserve">H/L ASSY PASSION PLUS</t>
  </si>
  <si>
    <t xml:space="preserve">224-BLA-XL</t>
  </si>
  <si>
    <t xml:space="preserve">IND SET XL SUPER FR LONG STAY</t>
  </si>
  <si>
    <t xml:space="preserve">IND SET XL REAR</t>
  </si>
  <si>
    <t xml:space="preserve">ST</t>
  </si>
  <si>
    <t xml:space="preserve">225-HLU-AC</t>
  </si>
  <si>
    <t xml:space="preserve">ACCESS H L UNIT 125CC N/M</t>
  </si>
  <si>
    <t xml:space="preserve">225-HLUA</t>
  </si>
  <si>
    <t xml:space="preserve">ACCESS H L ASSY</t>
  </si>
  <si>
    <t xml:space="preserve">238-HLU-UN</t>
  </si>
  <si>
    <t xml:space="preserve">UNICORON HL ASYY NEW</t>
  </si>
  <si>
    <t xml:space="preserve">239-HLA-5G</t>
  </si>
  <si>
    <t xml:space="preserve">ACTIVA 5G H L ASSY</t>
  </si>
  <si>
    <t xml:space="preserve">239-HLA-6G</t>
  </si>
  <si>
    <t xml:space="preserve">HEAD LIGHT ASSY ACTIVA 6G</t>
  </si>
  <si>
    <t xml:space="preserve">239-HLU3G</t>
  </si>
  <si>
    <t xml:space="preserve">ACTIVA 3G H L ASSY</t>
  </si>
  <si>
    <t xml:space="preserve">239-HLUAND</t>
  </si>
  <si>
    <t xml:space="preserve">ACTIVA N/M H L ASSY</t>
  </si>
  <si>
    <t xml:space="preserve">248-HLA-UG</t>
  </si>
  <si>
    <t xml:space="preserve">PULSAR UG3 H L ASSY</t>
  </si>
  <si>
    <t xml:space="preserve">254-HLUD</t>
  </si>
  <si>
    <t xml:space="preserve">PLATINA H L ASSY</t>
  </si>
  <si>
    <t xml:space="preserve">260-HLU-HS</t>
  </si>
  <si>
    <t xml:space="preserve">H/L UNIT SHINE N\M WT PARKING</t>
  </si>
  <si>
    <t xml:space="preserve">260-HLUD</t>
  </si>
  <si>
    <t xml:space="preserve">SHINE H L ASSY</t>
  </si>
  <si>
    <t xml:space="preserve">GABRIEL OIL</t>
  </si>
  <si>
    <t xml:space="preserve">GM-FF34011</t>
  </si>
  <si>
    <t xml:space="preserve">FORK OIL 350 ML</t>
  </si>
  <si>
    <t xml:space="preserve">27101980</t>
  </si>
  <si>
    <t xml:space="preserve">5563GS</t>
  </si>
  <si>
    <t xml:space="preserve">SAI</t>
  </si>
  <si>
    <t xml:space="preserve">SAI-03</t>
  </si>
  <si>
    <t xml:space="preserve">UNICORN FF BLACK</t>
  </si>
  <si>
    <t xml:space="preserve">SAI-102</t>
  </si>
  <si>
    <t xml:space="preserve">SIDE COVER SPLENDER PLUS BLACK(BLUE)</t>
  </si>
  <si>
    <t xml:space="preserve">SAI-120</t>
  </si>
  <si>
    <t xml:space="preserve">FRONT FENDER SHINE BLACK</t>
  </si>
  <si>
    <t xml:space="preserve">SAI-131</t>
  </si>
  <si>
    <t xml:space="preserve">REAR COWL SPLENDER+ BLACK(BLUE)</t>
  </si>
  <si>
    <t xml:space="preserve">SAI-131I</t>
  </si>
  <si>
    <t xml:space="preserve">REAR COWL SPLENDER PLUS BLACK (SILVER)</t>
  </si>
  <si>
    <t xml:space="preserve">SAI-132</t>
  </si>
  <si>
    <t xml:space="preserve">SIDE COVER SPLENDER PLUS NM BLACK(BL)</t>
  </si>
  <si>
    <t xml:space="preserve">SAI-132I</t>
  </si>
  <si>
    <t xml:space="preserve">SPLENDOR PLUS BLACK/SILVER SIDE DOOR</t>
  </si>
  <si>
    <t xml:space="preserve">SAI-14</t>
  </si>
  <si>
    <t xml:space="preserve">CBZ X BLACK FF</t>
  </si>
  <si>
    <t xml:space="preserve">SAI-157</t>
  </si>
  <si>
    <t xml:space="preserve">HLV SHINE LATEST BLACK RED STICKER</t>
  </si>
  <si>
    <t xml:space="preserve">SAI-159</t>
  </si>
  <si>
    <t xml:space="preserve">HLV PASSION PRO BLACK (RED STICKERS)</t>
  </si>
  <si>
    <t xml:space="preserve">SAI-159A</t>
  </si>
  <si>
    <t xml:space="preserve">HLV PASSION PRO BLACK (BLUE STICKERS)</t>
  </si>
  <si>
    <t xml:space="preserve">SAI-168</t>
  </si>
  <si>
    <t xml:space="preserve">HLV W/G DISCOVER 100CC BLACK RED STI</t>
  </si>
  <si>
    <t xml:space="preserve">SAI-175A</t>
  </si>
  <si>
    <t xml:space="preserve">REAR COWL PASSION PLUS N/M S RED(BLA)</t>
  </si>
  <si>
    <t xml:space="preserve">SAI-175B</t>
  </si>
  <si>
    <t xml:space="preserve">REAR COWL PASSION PLUS N/M S BLUE(B)</t>
  </si>
  <si>
    <t xml:space="preserve">SAI-176A</t>
  </si>
  <si>
    <t xml:space="preserve">SIDE COVER PASSION PLUS NM S RED BLK</t>
  </si>
  <si>
    <t xml:space="preserve">SAI-176B</t>
  </si>
  <si>
    <t xml:space="preserve">SIDE COVER PASSION PLUS NM S BLU BLK</t>
  </si>
  <si>
    <t xml:space="preserve">SAI-178</t>
  </si>
  <si>
    <t xml:space="preserve">HLV W/G&amp;GARNISH CBZ XTREME BLACK</t>
  </si>
  <si>
    <t xml:space="preserve">SAI-184</t>
  </si>
  <si>
    <t xml:space="preserve">ACTIVA N/M BLACK VISOR</t>
  </si>
  <si>
    <t xml:space="preserve">SAI-184C</t>
  </si>
  <si>
    <t xml:space="preserve">HLV ACTIVA N/M GREY</t>
  </si>
  <si>
    <t xml:space="preserve">SAI-184E</t>
  </si>
  <si>
    <t xml:space="preserve">HLV ACTIVA N/M WHITE</t>
  </si>
  <si>
    <t xml:space="preserve">SAI-185</t>
  </si>
  <si>
    <t xml:space="preserve">HLV W/G&amp;GARNISH FOR BLACK CLR</t>
  </si>
  <si>
    <t xml:space="preserve">SAI-186</t>
  </si>
  <si>
    <t xml:space="preserve">HLV PASSION PRO DIG BLACK (RED STICK)</t>
  </si>
  <si>
    <t xml:space="preserve">SAI-186A</t>
  </si>
  <si>
    <t xml:space="preserve">HLV PASSION PRO DIG BLACK(BLUE STICK)</t>
  </si>
  <si>
    <t xml:space="preserve">SAI-186B</t>
  </si>
  <si>
    <t xml:space="preserve">HLV PASSION PRO DIG BLACK(GREY STICK)</t>
  </si>
  <si>
    <t xml:space="preserve">SAI-195</t>
  </si>
  <si>
    <t xml:space="preserve">SIDE COVER PASSION PRO S RED RED STI</t>
  </si>
  <si>
    <t xml:space="preserve">SAI-195B</t>
  </si>
  <si>
    <t xml:space="preserve">SIDE COVER PASSION PRO DIG GREY GREY</t>
  </si>
  <si>
    <t xml:space="preserve">SAI-196</t>
  </si>
  <si>
    <t xml:space="preserve">REAL COWL PASSION PRO DIGITAL S RED</t>
  </si>
  <si>
    <t xml:space="preserve">SAI-196B</t>
  </si>
  <si>
    <t xml:space="preserve">REAL COWL PASSION PRO DIG GREYE(BLAC)</t>
  </si>
  <si>
    <t xml:space="preserve">SAI-210</t>
  </si>
  <si>
    <t xml:space="preserve">REAR COWEL CB UNICORN N/M BLACK</t>
  </si>
  <si>
    <t xml:space="preserve">SAI-216B</t>
  </si>
  <si>
    <t xml:space="preserve">REAR COWLS CENTER PLATE GLAMOUR S RE</t>
  </si>
  <si>
    <t xml:space="preserve">SAI-216F</t>
  </si>
  <si>
    <t xml:space="preserve">REAR COWL CENTER PLAT BLUE</t>
  </si>
  <si>
    <t xml:space="preserve">SAI-222</t>
  </si>
  <si>
    <t xml:space="preserve">REAR COWL"U"PLATE GLAMOUR BLACK</t>
  </si>
  <si>
    <t xml:space="preserve">SAI-267</t>
  </si>
  <si>
    <t xml:space="preserve">FF GLAMOUR LATEST BLACK</t>
  </si>
  <si>
    <t xml:space="preserve">SAI-267A</t>
  </si>
  <si>
    <t xml:space="preserve">FF GLAMOUR LATEST RED</t>
  </si>
  <si>
    <t xml:space="preserve">SAI-289</t>
  </si>
  <si>
    <t xml:space="preserve">REAR COWEL CBZ XTREM BLACK</t>
  </si>
  <si>
    <t xml:space="preserve">SAI-294</t>
  </si>
  <si>
    <t xml:space="preserve">HLV CB SHINE N/M T5 BLACK</t>
  </si>
  <si>
    <t xml:space="preserve">SAI-314-CG</t>
  </si>
  <si>
    <t xml:space="preserve">CB UNICORN SEDE DOORS SET</t>
  </si>
  <si>
    <t xml:space="preserve">SAI-340A</t>
  </si>
  <si>
    <t xml:space="preserve">HF DELUXE BLACK/RED VISOR</t>
  </si>
  <si>
    <t xml:space="preserve">SAI-366</t>
  </si>
  <si>
    <t xml:space="preserve">SIDE COVER LH/RH CBZ XTREM BLACK</t>
  </si>
  <si>
    <t xml:space="preserve">SAI-421</t>
  </si>
  <si>
    <t xml:space="preserve">GLAMOUR T6 BLACK/RED VISOR</t>
  </si>
  <si>
    <t xml:space="preserve">SAI-421A</t>
  </si>
  <si>
    <t xml:space="preserve">GLAMOUR T6 BLACK/BLUE VISOR</t>
  </si>
  <si>
    <t xml:space="preserve">SAI-421B</t>
  </si>
  <si>
    <t xml:space="preserve">HLV W/G GLAMOUR LATEST N/M T6 BLACK</t>
  </si>
  <si>
    <t xml:space="preserve">SAI-421C</t>
  </si>
  <si>
    <t xml:space="preserve">HLV W/G GLAMOUR LATEST N/M T6 RED</t>
  </si>
  <si>
    <t xml:space="preserve">SAI-422</t>
  </si>
  <si>
    <t xml:space="preserve">GLAMOUR T 6 SIDE COVER BLACK-RED</t>
  </si>
  <si>
    <t xml:space="preserve">SAI-422B</t>
  </si>
  <si>
    <t xml:space="preserve">GLAMOUR T 6 SIDE COVER BLACK-GREY</t>
  </si>
  <si>
    <t xml:space="preserve">SAI-422E</t>
  </si>
  <si>
    <t xml:space="preserve">GLAMOUR T 6 SIDE COVER BLUE-BLACK</t>
  </si>
  <si>
    <t xml:space="preserve">SAI-423</t>
  </si>
  <si>
    <t xml:space="preserve">GLAMOUR T 6 COWLS S RED BLACK BIKE</t>
  </si>
  <si>
    <t xml:space="preserve">SAI-423A</t>
  </si>
  <si>
    <t xml:space="preserve">GLAMOUR T 6 COWLS SILVER BLACK BIKE</t>
  </si>
  <si>
    <t xml:space="preserve">SAI-423B</t>
  </si>
  <si>
    <t xml:space="preserve">GLAMOUR T6 BLUE/BLACK BIKE COWLS</t>
  </si>
  <si>
    <t xml:space="preserve">SAI-423C</t>
  </si>
  <si>
    <t xml:space="preserve">GLAMOUR T 6 COWLS BLACK RED BIKE</t>
  </si>
  <si>
    <t xml:space="preserve">SAI-431B</t>
  </si>
  <si>
    <t xml:space="preserve">FF ACTIVA 3G WHITE</t>
  </si>
  <si>
    <t xml:space="preserve">SAI-432A</t>
  </si>
  <si>
    <t xml:space="preserve">HF DELUXE T3 BLAK/RED VISOR</t>
  </si>
  <si>
    <t xml:space="preserve">SAI-435</t>
  </si>
  <si>
    <t xml:space="preserve">HF DELUXE T2 BLACK FF</t>
  </si>
  <si>
    <t xml:space="preserve">SAI-440</t>
  </si>
  <si>
    <t xml:space="preserve">T.P.F.C GLAMOUR N/M T6 BLACK/RED</t>
  </si>
  <si>
    <t xml:space="preserve">SAI-440A</t>
  </si>
  <si>
    <t xml:space="preserve">T.P.F.CGLAMOUR LATESTN/M (T6)BLACK B</t>
  </si>
  <si>
    <t xml:space="preserve">SAI-442B</t>
  </si>
  <si>
    <t xml:space="preserve">PASSION PRO T3 BLACK/GREY VISOR</t>
  </si>
  <si>
    <t xml:space="preserve">SAI-442C</t>
  </si>
  <si>
    <t xml:space="preserve">HLV PASSION PRO T3 W/G SILVER</t>
  </si>
  <si>
    <t xml:space="preserve">SAI-455</t>
  </si>
  <si>
    <t xml:space="preserve">ACTIVA 3G WHITE VISOR</t>
  </si>
  <si>
    <t xml:space="preserve">SAI-455B</t>
  </si>
  <si>
    <t xml:space="preserve">HLV ACTIVA-3G GREY</t>
  </si>
  <si>
    <t xml:space="preserve">SAI-456</t>
  </si>
  <si>
    <t xml:space="preserve">REAR COWALS SPL PLUS BLACK/BLUE</t>
  </si>
  <si>
    <t xml:space="preserve">SAI-456A</t>
  </si>
  <si>
    <t xml:space="preserve">REAR COWALS SPL PLUS BLACK/SILVER</t>
  </si>
  <si>
    <t xml:space="preserve">SAI-457</t>
  </si>
  <si>
    <t xml:space="preserve">REAR COWALS CB SHINE T5 BLACK/RED</t>
  </si>
  <si>
    <t xml:space="preserve">SAI-458PP</t>
  </si>
  <si>
    <t xml:space="preserve">SIDE COWELS CBSHINE TYPE5 B/RED STI</t>
  </si>
  <si>
    <t xml:space="preserve">SAI-462</t>
  </si>
  <si>
    <t xml:space="preserve">FF PASSION PRO T3 BLACK</t>
  </si>
  <si>
    <t xml:space="preserve">SAI-462B</t>
  </si>
  <si>
    <t xml:space="preserve">FF PASSION PRO T3 SILVER</t>
  </si>
  <si>
    <t xml:space="preserve">SAI-469</t>
  </si>
  <si>
    <t xml:space="preserve">SIDE DOOR HF-DLX T3 BLACK/BLUE</t>
  </si>
  <si>
    <t xml:space="preserve">SAI-469A</t>
  </si>
  <si>
    <t xml:space="preserve">SIDE DOOR HF-DLX T3 BLACK/RED</t>
  </si>
  <si>
    <t xml:space="preserve">SAI-490</t>
  </si>
  <si>
    <t xml:space="preserve">R/C SET HF-DELUXE T3 BLACK(RED STICK)</t>
  </si>
  <si>
    <t xml:space="preserve">SAI-490A</t>
  </si>
  <si>
    <t xml:space="preserve">R/C SET HF-DELUXE T3 BLACK(PURPLE ST)</t>
  </si>
  <si>
    <t xml:space="preserve">SAI-491</t>
  </si>
  <si>
    <t xml:space="preserve">CB SHINE DX BLACK VISOR</t>
  </si>
  <si>
    <t xml:space="preserve">SAI-57</t>
  </si>
  <si>
    <t xml:space="preserve">PASSION PLUS BLACK BLUE SIDE DOORS</t>
  </si>
  <si>
    <t xml:space="preserve">SAI-58</t>
  </si>
  <si>
    <t xml:space="preserve">PASSION PLUS BLACK/BLUE COWLS</t>
  </si>
  <si>
    <t xml:space="preserve">SAI-58A</t>
  </si>
  <si>
    <t xml:space="preserve">REAR COWL PASSION PLUS BLACK(RED)</t>
  </si>
  <si>
    <t xml:space="preserve">SAI-603</t>
  </si>
  <si>
    <t xml:space="preserve">ACTIVA 5G V WHITE</t>
  </si>
  <si>
    <t xml:space="preserve">OC</t>
  </si>
  <si>
    <t xml:space="preserve">SAI-603A</t>
  </si>
  <si>
    <t xml:space="preserve">HLV ACTIVA 5G BLACK</t>
  </si>
  <si>
    <t xml:space="preserve">SAI-618</t>
  </si>
  <si>
    <t xml:space="preserve">S\C SHINE DX CHROME GARNISH BLACK</t>
  </si>
  <si>
    <t xml:space="preserve">SAI-619</t>
  </si>
  <si>
    <t xml:space="preserve">Side Cowl Set Fit For Shine Dx Type-</t>
  </si>
  <si>
    <t xml:space="preserve">SAI-628</t>
  </si>
  <si>
    <t xml:space="preserve">REAR COWL SHINE DX BLACK</t>
  </si>
  <si>
    <t xml:space="preserve">SAI-629</t>
  </si>
  <si>
    <t xml:space="preserve">REAR COWL SHINE DX TYPE-2 BLACK</t>
  </si>
  <si>
    <t xml:space="preserve">SAI-63</t>
  </si>
  <si>
    <t xml:space="preserve">FF SPLENDOR BLACK</t>
  </si>
  <si>
    <t xml:space="preserve">SAI-65</t>
  </si>
  <si>
    <t xml:space="preserve">FF PASSION/PLUS BLACK</t>
  </si>
  <si>
    <t xml:space="preserve">SAI-663</t>
  </si>
  <si>
    <t xml:space="preserve">SHINE DX GARNISH MODEL V BLACK</t>
  </si>
  <si>
    <t xml:space="preserve">SAI-68</t>
  </si>
  <si>
    <t xml:space="preserve">FF CD DLX/SPLD NXG BLACK</t>
  </si>
  <si>
    <t xml:space="preserve">SAI-71</t>
  </si>
  <si>
    <t xml:space="preserve">FF PULSAR DTSI BLACK</t>
  </si>
  <si>
    <t xml:space="preserve">SAI-715</t>
  </si>
  <si>
    <t xml:space="preserve">Head Light Visor Fit For Activa 6G P</t>
  </si>
  <si>
    <t xml:space="preserve">SAI-715B</t>
  </si>
  <si>
    <t xml:space="preserve">SAI-769</t>
  </si>
  <si>
    <t xml:space="preserve">SHINE BS6 V 2020 BLACK</t>
  </si>
  <si>
    <t xml:space="preserve">SAI-783</t>
  </si>
  <si>
    <t xml:space="preserve">SHINE BS6 RC SET BLACK</t>
  </si>
  <si>
    <t xml:space="preserve">SAI-81A</t>
  </si>
  <si>
    <t xml:space="preserve">HLV SPLENDER+ N/M BLACK LATEST(BLUE)</t>
  </si>
  <si>
    <t xml:space="preserve">SAI-81B</t>
  </si>
  <si>
    <t xml:space="preserve">SPLENDOR PLUS N/M BLACK/SILVER VISOR</t>
  </si>
  <si>
    <t xml:space="preserve">SAI-85</t>
  </si>
  <si>
    <t xml:space="preserve">HLV PASSION+ BLACK(BLUE STICKER)</t>
  </si>
  <si>
    <t xml:space="preserve">SAI-85A</t>
  </si>
  <si>
    <t xml:space="preserve">HLV PASSION+ BLACK(RED STICKER)</t>
  </si>
  <si>
    <t xml:space="preserve">SAI-86</t>
  </si>
  <si>
    <t xml:space="preserve">HLV PASSION+ N/M BLACK (BLUE STICKER)</t>
  </si>
  <si>
    <t xml:space="preserve">SAI-86A</t>
  </si>
  <si>
    <t xml:space="preserve">PASSION PLUS N/M BLACK RED VISOR</t>
  </si>
  <si>
    <t xml:space="preserve">5559GS</t>
  </si>
  <si>
    <t xml:space="preserve">SLD</t>
  </si>
  <si>
    <t xml:space="preserve">SDA-SM-01</t>
  </si>
  <si>
    <t xml:space="preserve">STARTER MOTOR 3G</t>
  </si>
  <si>
    <t xml:space="preserve">85114000</t>
  </si>
  <si>
    <t xml:space="preserve">SDASM-01</t>
  </si>
  <si>
    <t xml:space="preserve">STARTER MOTOR PUL 150/160</t>
  </si>
  <si>
    <t xml:space="preserve">BODIX</t>
  </si>
  <si>
    <t xml:space="preserve">25141</t>
  </si>
  <si>
    <t xml:space="preserve">FORK CUPS STAR CITY</t>
  </si>
  <si>
    <t xml:space="preserve">84822090</t>
  </si>
  <si>
    <t xml:space="preserve">HTA</t>
  </si>
  <si>
    <t xml:space="preserve">HTA-21</t>
  </si>
  <si>
    <t xml:space="preserve">KIT TVS-XL SUPER</t>
  </si>
  <si>
    <t xml:space="preserve">HTA-26</t>
  </si>
  <si>
    <t xml:space="preserve">OIL SEAL KIT ACTIVA</t>
  </si>
  <si>
    <t xml:space="preserve">HTA-38</t>
  </si>
  <si>
    <t xml:space="preserve">OIL SEAL KIT GLAMAR</t>
  </si>
  <si>
    <t xml:space="preserve">HTA-39</t>
  </si>
  <si>
    <t xml:space="preserve">OIL SEL KIT UNICORN SHINE</t>
  </si>
  <si>
    <t xml:space="preserve">HTA-47</t>
  </si>
  <si>
    <t xml:space="preserve">OIL SEL KIT PASSION PRO</t>
  </si>
  <si>
    <t xml:space="preserve">HTA-6001</t>
  </si>
  <si>
    <t xml:space="preserve">COIL PLAT OIL SEAL HH/SPL/PAS</t>
  </si>
  <si>
    <t xml:space="preserve">HTA-6004</t>
  </si>
  <si>
    <t xml:space="preserve">VALVE OIL SEL SET HH</t>
  </si>
  <si>
    <t xml:space="preserve">HTA-6305</t>
  </si>
  <si>
    <t xml:space="preserve">KICK OIL SEAL</t>
  </si>
  <si>
    <t xml:space="preserve">PCS</t>
  </si>
  <si>
    <t xml:space="preserve">HTA-6351</t>
  </si>
  <si>
    <t xml:space="preserve">ROTARY OIL SEAL HH</t>
  </si>
  <si>
    <t xml:space="preserve">HTA-6374</t>
  </si>
  <si>
    <t xml:space="preserve">FORK OIL SEAL SPL/BOXR/PULSAR</t>
  </si>
  <si>
    <t xml:space="preserve">NOS</t>
  </si>
  <si>
    <t xml:space="preserve">HTA-6375</t>
  </si>
  <si>
    <t xml:space="preserve">FORK DUST OIL SEL BOXR/CAL/PUL</t>
  </si>
  <si>
    <t xml:space="preserve">HTA-6752</t>
  </si>
  <si>
    <t xml:space="preserve">FORK OIL SEAL CBZ/PULSAR-DTSI</t>
  </si>
  <si>
    <t xml:space="preserve">HTA-71</t>
  </si>
  <si>
    <t xml:space="preserve">OIL SEAL KIT ASSCS</t>
  </si>
  <si>
    <t xml:space="preserve">HTA-7318</t>
  </si>
  <si>
    <t xml:space="preserve">COIL PLAT OIL SEL PRO BIG</t>
  </si>
  <si>
    <t xml:space="preserve">HTA-7319</t>
  </si>
  <si>
    <t xml:space="preserve">PASSION PRO COIL OILSEAL</t>
  </si>
  <si>
    <t xml:space="preserve">HTA-7705</t>
  </si>
  <si>
    <t xml:space="preserve">FORK OIL SEAL FZ</t>
  </si>
  <si>
    <t xml:space="preserve">ANL</t>
  </si>
  <si>
    <t xml:space="preserve">ABS-BK-51</t>
  </si>
  <si>
    <t xml:space="preserve">ANL BRAKE SHOE KB-4S</t>
  </si>
  <si>
    <t xml:space="preserve">ABS-BK-61</t>
  </si>
  <si>
    <t xml:space="preserve">ANL BRACK SHOWS PULSAR</t>
  </si>
  <si>
    <t xml:space="preserve">ABS-HAS-61</t>
  </si>
  <si>
    <t xml:space="preserve">ANL BRAKE SHOES ACTIVA N/M</t>
  </si>
  <si>
    <t xml:space="preserve">ABS-HHR-51</t>
  </si>
  <si>
    <t xml:space="preserve">ANL BRAKE SHOE H/H</t>
  </si>
  <si>
    <t xml:space="preserve">ABS-JA-15</t>
  </si>
  <si>
    <t xml:space="preserve">ANL BRACK SHOES BULLET 350CC</t>
  </si>
  <si>
    <t xml:space="preserve">87149400</t>
  </si>
  <si>
    <t xml:space="preserve">ABS-RY-61</t>
  </si>
  <si>
    <t xml:space="preserve">ANL BRACK SHOE RX-100</t>
  </si>
  <si>
    <t xml:space="preserve">ABS-SUZ-56</t>
  </si>
  <si>
    <t xml:space="preserve">ANL ACCESS BRACK SHOES</t>
  </si>
  <si>
    <t xml:space="preserve">ABS-SUZ-61</t>
  </si>
  <si>
    <t xml:space="preserve">ANL JUPITER BRACK SHOES</t>
  </si>
  <si>
    <t xml:space="preserve">ABS/YFZ/61</t>
  </si>
  <si>
    <t xml:space="preserve">ANL FZ BRACK SHOES</t>
  </si>
  <si>
    <t xml:space="preserve">ACCURAT</t>
  </si>
  <si>
    <t xml:space="preserve">04840</t>
  </si>
  <si>
    <t xml:space="preserve">SHIELD SCREW 10*19 ACTIVA</t>
  </si>
  <si>
    <t xml:space="preserve">73181500</t>
  </si>
  <si>
    <t xml:space="preserve">09021</t>
  </si>
  <si>
    <t xml:space="preserve">BRAKE ROD ASSAY SPLENDOR</t>
  </si>
  <si>
    <t xml:space="preserve">09256</t>
  </si>
  <si>
    <t xml:space="preserve">HEAD LIGHT FERRING CLIP PASSION</t>
  </si>
  <si>
    <t xml:space="preserve">09393</t>
  </si>
  <si>
    <t xml:space="preserve">SEAT BOLT SMALL HH</t>
  </si>
  <si>
    <t xml:space="preserve">GAF056</t>
  </si>
  <si>
    <t xml:space="preserve">UNIVERSAL PLUG CAP RED</t>
  </si>
  <si>
    <t xml:space="preserve">NAJ010</t>
  </si>
  <si>
    <t xml:space="preserve">BRAKE ROD NUT HH</t>
  </si>
  <si>
    <t xml:space="preserve">NAJ036</t>
  </si>
  <si>
    <t xml:space="preserve">HH STAND PIN</t>
  </si>
  <si>
    <t xml:space="preserve">NAJ037</t>
  </si>
  <si>
    <t xml:space="preserve">HH CHAIN ADJUSTER</t>
  </si>
  <si>
    <t xml:space="preserve">NAJ058</t>
  </si>
  <si>
    <t xml:space="preserve">GEAR LEVER HH SPLENDOR</t>
  </si>
  <si>
    <t xml:space="preserve">NAJ165</t>
  </si>
  <si>
    <t xml:space="preserve">HH SILNCER GASKET</t>
  </si>
  <si>
    <t xml:space="preserve">NAJ198</t>
  </si>
  <si>
    <t xml:space="preserve">SPEEDOMETER RUBBER HH</t>
  </si>
  <si>
    <t xml:space="preserve">NAJ250</t>
  </si>
  <si>
    <t xml:space="preserve">CHAIN COVER CAP HH/SPLENDOR</t>
  </si>
  <si>
    <t xml:space="preserve">NAJ314</t>
  </si>
  <si>
    <t xml:space="preserve">FRONT FOOTREST RUBBER HH</t>
  </si>
  <si>
    <t xml:space="preserve">NAJ435</t>
  </si>
  <si>
    <t xml:space="preserve">BOLT SEAT HERO HONDA SMALL</t>
  </si>
  <si>
    <t xml:space="preserve">NAJ543</t>
  </si>
  <si>
    <t xml:space="preserve">FUSE CASE ASSY HH SPLENDOR/PASSION</t>
  </si>
  <si>
    <t xml:space="preserve">NAJ643</t>
  </si>
  <si>
    <t xml:space="preserve">HEAD LIGHT VIZOR CLIP PASSION</t>
  </si>
  <si>
    <t xml:space="preserve">NAJ650</t>
  </si>
  <si>
    <t xml:space="preserve">PLUG ADAPTER HH</t>
  </si>
  <si>
    <t xml:space="preserve">NAJ653</t>
  </si>
  <si>
    <t xml:space="preserve">FORK BOOT DUST CAP DAWM</t>
  </si>
  <si>
    <t xml:space="preserve">NAJ702</t>
  </si>
  <si>
    <t xml:space="preserve">FORK MAIN TUBE ORING SS</t>
  </si>
  <si>
    <t xml:space="preserve">NAJ754</t>
  </si>
  <si>
    <t xml:space="preserve">TOOL BOX LOCK SPLENDERNDOR/Y2K BLACK</t>
  </si>
  <si>
    <t xml:space="preserve">NAR126</t>
  </si>
  <si>
    <t xml:space="preserve">PLUG CAP PULSAR DTSI</t>
  </si>
  <si>
    <t xml:space="preserve">NAV100</t>
  </si>
  <si>
    <t xml:space="preserve">FRONT FOOTREST RUBBER TVS STAR</t>
  </si>
  <si>
    <t xml:space="preserve">NJA005</t>
  </si>
  <si>
    <t xml:space="preserve">PETROL PIPE PASSIN PRO</t>
  </si>
  <si>
    <t xml:space="preserve">NJA107</t>
  </si>
  <si>
    <t xml:space="preserve">YOKE COVER SPLENDOR</t>
  </si>
  <si>
    <t xml:space="preserve">VARROC</t>
  </si>
  <si>
    <t xml:space="preserve">10KTP</t>
  </si>
  <si>
    <t xml:space="preserve">STARTER MOTOR PLESURE</t>
  </si>
  <si>
    <t xml:space="preserve">85459090</t>
  </si>
  <si>
    <t xml:space="preserve">3104</t>
  </si>
  <si>
    <t xml:space="preserve">CARBON BRUSH CD DLX P PRO</t>
  </si>
  <si>
    <t xml:space="preserve">8545</t>
  </si>
  <si>
    <t xml:space="preserve">3121</t>
  </si>
  <si>
    <t xml:space="preserve">STARTER MOTOR GLAMOUR</t>
  </si>
  <si>
    <t xml:space="preserve">3141</t>
  </si>
  <si>
    <t xml:space="preserve">STARTER MOTOR PASSION PRO/HF DLX</t>
  </si>
  <si>
    <t xml:space="preserve">31M1</t>
  </si>
  <si>
    <t xml:space="preserve">R R ACTIVA HET/SHINE UNICORN/FLICKER</t>
  </si>
  <si>
    <t xml:space="preserve">DH72</t>
  </si>
  <si>
    <t xml:space="preserve">CDI PULSAR150 UG4-K1(TWIN SPARK)DC</t>
  </si>
  <si>
    <t xml:space="preserve">8511</t>
  </si>
  <si>
    <t xml:space="preserve">EE19</t>
  </si>
  <si>
    <t xml:space="preserve">CARBON BRUSH ACTIVA PLEASURE</t>
  </si>
  <si>
    <t xml:space="preserve">EE26</t>
  </si>
  <si>
    <t xml:space="preserve">CARBON BRUSH PASSION PRO</t>
  </si>
  <si>
    <t xml:space="preserve">HH05</t>
  </si>
  <si>
    <t xml:space="preserve">H T COIL SPL O/M</t>
  </si>
  <si>
    <t xml:space="preserve">HH06</t>
  </si>
  <si>
    <t xml:space="preserve">H T COIL SPL/PASS</t>
  </si>
  <si>
    <t xml:space="preserve">HH21</t>
  </si>
  <si>
    <t xml:space="preserve">CDI UNIT GLAMR</t>
  </si>
  <si>
    <t xml:space="preserve">HH24</t>
  </si>
  <si>
    <t xml:space="preserve">R.R. UNIT SPLENDOR/PASSION</t>
  </si>
  <si>
    <t xml:space="preserve">HH33</t>
  </si>
  <si>
    <t xml:space="preserve">R R UNIT GLAMOUR</t>
  </si>
  <si>
    <t xml:space="preserve">HM79</t>
  </si>
  <si>
    <t xml:space="preserve">CDI HONDA UNICORN</t>
  </si>
  <si>
    <t xml:space="preserve">KOE1</t>
  </si>
  <si>
    <t xml:space="preserve">STARTER MOTOR UNICORN 160 HONET 160</t>
  </si>
  <si>
    <t xml:space="preserve">ROLAN</t>
  </si>
  <si>
    <t xml:space="preserve">150ML</t>
  </si>
  <si>
    <t xml:space="preserve">CHAIN SPRAY 150ML</t>
  </si>
  <si>
    <t xml:space="preserve">ROLAN BELTS</t>
  </si>
  <si>
    <t xml:space="preserve">CCV-731</t>
  </si>
  <si>
    <t xml:space="preserve">BELT WEGO/JUPITER SCOOTY ZEST</t>
  </si>
  <si>
    <t xml:space="preserve">40101190</t>
  </si>
  <si>
    <t xml:space="preserve">CCV-740</t>
  </si>
  <si>
    <t xml:space="preserve">BELT ACTIVA/PLEASURE/MAESTRO</t>
  </si>
  <si>
    <t xml:space="preserve">CCV-742</t>
  </si>
  <si>
    <t xml:space="preserve">ACTIVA&amp;DIO BS6 BELTS</t>
  </si>
  <si>
    <t xml:space="preserve">CCV-750</t>
  </si>
  <si>
    <t xml:space="preserve">BELT AVAITOR</t>
  </si>
  <si>
    <t xml:space="preserve">CCV-755</t>
  </si>
  <si>
    <t xml:space="preserve">SUZUKI ACCESS BSIV NEW</t>
  </si>
  <si>
    <t xml:space="preserve">CCV-760</t>
  </si>
  <si>
    <t xml:space="preserve">ACTIVA 125CC BELT</t>
  </si>
  <si>
    <t xml:space="preserve">SPG-001</t>
  </si>
  <si>
    <t xml:space="preserve">ACTIVA BEND AXEL</t>
  </si>
  <si>
    <t xml:space="preserve">TP001</t>
  </si>
  <si>
    <t xml:space="preserve">CLUTCH WEIGHT ROLLERS ACTIVA NEW MAE</t>
  </si>
  <si>
    <t xml:space="preserve">TP002</t>
  </si>
  <si>
    <t xml:space="preserve">CLUTCH WEIGHT ROLLERS ACTIVA HET</t>
  </si>
  <si>
    <t xml:space="preserve">TP003</t>
  </si>
  <si>
    <t xml:space="preserve">CLUTCH WEIGHT ROLLERS ACTIVA 110 PLE</t>
  </si>
  <si>
    <t xml:space="preserve">TP010</t>
  </si>
  <si>
    <t xml:space="preserve">ACTIVA LINK BRUSH</t>
  </si>
  <si>
    <t xml:space="preserve">TP012</t>
  </si>
  <si>
    <t xml:space="preserve">CLUTCH WEIGHT ROLLERS WEGO</t>
  </si>
  <si>
    <t xml:space="preserve">TP020</t>
  </si>
  <si>
    <t xml:space="preserve">CLUTCH WEIGHT ROLLERS ACCESS</t>
  </si>
  <si>
    <t xml:space="preserve">TP026</t>
  </si>
  <si>
    <t xml:space="preserve">CLUTCH SLIDER PIECE ACTIVA\PLEASURE</t>
  </si>
  <si>
    <t xml:space="preserve">ROLAN RUBBERS</t>
  </si>
  <si>
    <t xml:space="preserve">0001</t>
  </si>
  <si>
    <t xml:space="preserve">CD100/SPL/CDY2K/STREET</t>
  </si>
  <si>
    <t xml:space="preserve">40169390</t>
  </si>
  <si>
    <t xml:space="preserve">0002</t>
  </si>
  <si>
    <t xml:space="preserve">PASSION NM/PRO/GLAMOUR</t>
  </si>
  <si>
    <t xml:space="preserve">0005</t>
  </si>
  <si>
    <t xml:space="preserve">KB4S/CT100/CALIBER OLD</t>
  </si>
  <si>
    <t xml:space="preserve">0006</t>
  </si>
  <si>
    <t xml:space="preserve">PULSAR DTSI/UG3/PULSAR 4</t>
  </si>
  <si>
    <t xml:space="preserve">0009</t>
  </si>
  <si>
    <t xml:space="preserve">TVS XL HD</t>
  </si>
  <si>
    <t xml:space="preserve">0014</t>
  </si>
  <si>
    <t xml:space="preserve">RX-100/CRUX/G5/FZ/R15</t>
  </si>
  <si>
    <t xml:space="preserve">0015</t>
  </si>
  <si>
    <t xml:space="preserve">YAMA HA FZ/R15 V3/V4</t>
  </si>
  <si>
    <t xml:space="preserve">003</t>
  </si>
  <si>
    <t xml:space="preserve">SHINE</t>
  </si>
  <si>
    <t xml:space="preserve">004</t>
  </si>
  <si>
    <t xml:space="preserve">UNICORN</t>
  </si>
  <si>
    <t xml:space="preserve">ROLAN BRA</t>
  </si>
  <si>
    <t xml:space="preserve">TP052</t>
  </si>
  <si>
    <t xml:space="preserve">FORK CUPSET PULSAR</t>
  </si>
  <si>
    <t xml:space="preserve">TP053</t>
  </si>
  <si>
    <t xml:space="preserve">FORK CUPS PULSAR 200/220CC</t>
  </si>
  <si>
    <t xml:space="preserve">TP054</t>
  </si>
  <si>
    <t xml:space="preserve">FORK CUPS WEGO/JUPITER</t>
  </si>
  <si>
    <t xml:space="preserve">TP055</t>
  </si>
  <si>
    <t xml:space="preserve">SBR SCOOTY PEP</t>
  </si>
  <si>
    <t xml:space="preserve">TP057</t>
  </si>
  <si>
    <t xml:space="preserve">FORK CUPSET HH/SPL</t>
  </si>
  <si>
    <t xml:space="preserve">TP058</t>
  </si>
  <si>
    <t xml:space="preserve">FORK CUPSET SHINE/GLAMAR</t>
  </si>
  <si>
    <t xml:space="preserve">TP079</t>
  </si>
  <si>
    <t xml:space="preserve">SBR SET APACHE RTR 160/200 4V</t>
  </si>
  <si>
    <t xml:space="preserve">TP081</t>
  </si>
  <si>
    <t xml:space="preserve">SBR RAY/FZ/CRUX</t>
  </si>
  <si>
    <t xml:space="preserve">CAMP NET</t>
  </si>
  <si>
    <t xml:space="preserve">CA14B-204N</t>
  </si>
  <si>
    <t xml:space="preserve">PULSAR BRACK SHOES</t>
  </si>
  <si>
    <t xml:space="preserve">9814</t>
  </si>
  <si>
    <t xml:space="preserve">GRAND TOTAL — 3 invoices</t>
  </si>
  <si>
    <t xml:space="preserve">Invoice Summary — Kumar Auto Stores</t>
  </si>
  <si>
    <t xml:space="preserve">Supplier</t>
  </si>
  <si>
    <t xml:space="preserve">KUMAR AUTO STORES, D.No.4-18/1 Garagaparru Road, Bhimavaram-534202</t>
  </si>
  <si>
    <t xml:space="preserve">Supplier GSTIN</t>
  </si>
  <si>
    <t xml:space="preserve">37AITPG4383P1ZB</t>
  </si>
  <si>
    <t xml:space="preserve">Buyer</t>
  </si>
  <si>
    <t xml:space="preserve">SRI SRI SATYA SAI AUTMOBILE AGENC, 2-12-27/1 Railway Station Road, Tadepalligudem-534101</t>
  </si>
  <si>
    <t xml:space="preserve">Buyer GSTIN</t>
  </si>
  <si>
    <t xml:space="preserve">37CUJPG4763K1Z5</t>
  </si>
  <si>
    <t xml:space="preserve">Invoice Date (all 3)</t>
  </si>
  <si>
    <t xml:space="preserve">06/03/2026  (DD/MM/YYYY = 6 March 2026)</t>
  </si>
  <si>
    <t xml:space="preserve">Source</t>
  </si>
  <si>
    <t xml:space="preserve">Adobe_Scan_30_Aug_2026.pdf — 10 scanned pages</t>
  </si>
  <si>
    <t xml:space="preserve">Lines</t>
  </si>
  <si>
    <t xml:space="preserve">Total Qty</t>
  </si>
  <si>
    <t xml:space="preserve">Taxable Amount (computed)</t>
  </si>
  <si>
    <t xml:space="preserve">Taxable (printed)</t>
  </si>
  <si>
    <t xml:space="preserve">CGST (printed)</t>
  </si>
  <si>
    <t xml:space="preserve">SGST (printed)</t>
  </si>
  <si>
    <t xml:space="preserve">Rounding Off</t>
  </si>
  <si>
    <t xml:space="preserve">Net Amount (computed)</t>
  </si>
  <si>
    <t xml:space="preserve">Net Amount (printed)</t>
  </si>
  <si>
    <t xml:space="preserve">TOTAL</t>
  </si>
  <si>
    <t xml:space="preserve">Brand / Group Totals — reconciled to printed invoice subtotals</t>
  </si>
  <si>
    <t xml:space="preserve">Gross (MRP Value) computed</t>
  </si>
  <si>
    <t xml:space="preserve">Gross printed on invoice</t>
  </si>
  <si>
    <t xml:space="preserve">Net (Taxable) computed</t>
  </si>
  <si>
    <t xml:space="preserve">Net printed on invoice</t>
  </si>
  <si>
    <t xml:space="preserve">Gross Var</t>
  </si>
  <si>
    <t xml:space="preserve">Net Var</t>
  </si>
  <si>
    <t xml:space="preserve">Reconciles?</t>
  </si>
  <si>
    <t xml:space="preserve">Notes, Assumptions &amp; Data-Quality Log</t>
  </si>
  <si>
    <t xml:space="preserve">1. Source and extraction method</t>
  </si>
  <si>
    <t xml:space="preserve">Extracted from Adobe_Scan_30_Aug_2026.pdf (10 pages) — a skewed dot-matrix printout with no usable text layer.</t>
  </si>
  <si>
    <t xml:space="preserve">Pages were rendered at 400 dpi, deskewed, and OCR'd. Raw OCR misaligned the Rate column against MRP by a full</t>
  </si>
  <si>
    <t xml:space="preserve">row on several pages, so every line was independently verified against the arithmetic the invoice itself enforces:</t>
  </si>
  <si>
    <t xml:space="preserve">     Rate = MRP x (1 - Disc%)          Taxable Amount = Rate x Qty / 1.18          CGST = SGST = 9% of Taxable Amount</t>
  </si>
  <si>
    <t xml:space="preserve">All 225 lines were then reconciled against every printed brand-group Gross/Net subtotal, every page brought-forward,</t>
  </si>
  <si>
    <t xml:space="preserve">and each invoice footer. All 18 brand-group subtotals, all 3 quantity counts and all 3 subtotals match exactly.</t>
  </si>
  <si>
    <t xml:space="preserve">2. Colour legend</t>
  </si>
  <si>
    <t xml:space="preserve">Blue text = transcribed exactly as printed on the invoice (source data).</t>
  </si>
  <si>
    <t xml:space="preserve">Black text = calculated by formula in this workbook. Never overwrite a black cell; edit the blue inputs instead.</t>
  </si>
  <si>
    <t xml:space="preserve">Column W ('Flag') on Line Items reads CHECK where the printed amount differs from Rate x Qty / 1.18 by &gt; 0.01.</t>
  </si>
  <si>
    <t xml:space="preserve">3. Genuine discrepancies in the invoices themselves (not extraction errors)</t>
  </si>
  <si>
    <t xml:space="preserve">a) Invoice 5559GS, ACCURAT group, lines 29 / 31 / 32 (SHIELD SCREW 10*19 ACTIVA, HEAD LIGHT FERRING CLIP</t>
  </si>
  <si>
    <t xml:space="preserve">     PASSION, SEAT BOLT SMALL HH): printed amounts run 0.05-0.30 above Rate x Qty / 1.18, because the supplier</t>
  </si>
  <si>
    <t xml:space="preserve">     rounds the per-unit rate to 2 decimals before multiplying. The ACCURAT group Net still totals to the printed</t>
  </si>
  <si>
    <t xml:space="preserve">     454.22, so the invoice is internally consistent. These three rows show CHECK in column W by design.</t>
  </si>
  <si>
    <t xml:space="preserve">b) On all three invoices the sum of line-level CGST falls short of the printed footer CGST by 0.06 / 0.17 / 0.26.</t>
  </si>
  <si>
    <t xml:space="preserve">     The supplier computes tax on the invoice subtotal rather than summing rounded per-line tax. The printed footer</t>
  </si>
  <si>
    <t xml:space="preserve">     figures are carried on 'Invoice Summary' and are the ones to use for GST filing.</t>
  </si>
  <si>
    <t xml:space="preserve">4. Item codes that need your eye (only 2 of 225 could not be read with full confidence)</t>
  </si>
  <si>
    <t xml:space="preserve">Invoice 5559GS lines 1-2 (SLD starter motors): codes are very faint. Read as SDA-SM-01 and SDASM-01, each with</t>
  </si>
  <si>
    <t xml:space="preserve">     one further trailing character that could not be resolved. Verify against the physical invoice.</t>
  </si>
  <si>
    <t xml:space="preserve">Invoice 5559GS lines 91-92 (ROLAN RUBBERS: SHINE, UNICORN): printed as 3-digit 003 and 004, while the rest of</t>
  </si>
  <si>
    <t xml:space="preserve">     that group is 4-digit (0001, 0002, 0005, 0006, 0009, 0014, 0015). These may be truncated 0003 / 0004.</t>
  </si>
  <si>
    <t xml:space="preserve">5. OCR errors caught and corrected by the arithmetic checks</t>
  </si>
  <si>
    <t xml:space="preserve">MRP of SAI-216F (180, misread as 160) - rate of TP081 (185.35, misread as 165.35) - amount of SAI-366 (509.66,</t>
  </si>
  <si>
    <t xml:space="preserve">misread as 503.66) - amount of 248-HLA-UG (1165.22, misread as 1165.24) - quantities of NAJ543 (10 SET, not 20)</t>
  </si>
  <si>
    <t xml:space="preserve">and TP058 (10 SET, not 20). All 225 item codes were read from zoomed image crops rather than OCR, which corrected</t>
  </si>
  <si>
    <t xml:space="preserve">RT-175, 238-HLU-UN, SAI-267A, SAI-289, SAI-618, SAI-619 and the entire VARROC block (3104, 3121, 3141, 31M1,</t>
  </si>
  <si>
    <t xml:space="preserve">DH72, EE19, EE26, HH05, HH06, HH21, HH24, HH33, HM79, KOE1).</t>
  </si>
  <si>
    <t xml:space="preserve">6. Other conventions</t>
  </si>
  <si>
    <t xml:space="preserve">Invoice date 06/03/2026 is DD/MM/YYYY = 6 March 2026, stored as text so it cannot be re-read as 3 June.</t>
  </si>
  <si>
    <t xml:space="preserve">Disc %, CGST % and SGST % are stored as fractions and displayed as percentages.</t>
  </si>
  <si>
    <t xml:space="preserve">'Unit' is left blank where the invoice printed no unit against a quantity. Units are reproduced as printed,</t>
  </si>
  <si>
    <t xml:space="preserve">including the supplier's inconsistencies (PC / PCS / SET / ST / NOS / OC), which are transcription-faithful.</t>
  </si>
  <si>
    <t xml:space="preserve">Descriptions are reproduced verbatim, including the supplier's own spelling (CLUCH, SPLENDER, BRACK, GEANARAL).</t>
  </si>
  <si>
    <t xml:space="preserve">All three invoices are intra-state (both parties GSTIN 37...), taxed at CGST 9% + SGST 9% = 18%.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</si>
</sst>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#,##0"/>
    <numFmt numFmtId="167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6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0" min="10" style="0" width="6"/>
    <col collapsed="false" customWidth="true" hidden="false" outlineLevel="0" max="11" min="11" style="0" width="8"/>
    <col collapsed="false" customWidth="true" hidden="false" outlineLevel="0" max="12" min="12" style="0" width="10"/>
    <col collapsed="false" customWidth="true" hidden="false" outlineLevel="0" max="13" min="13" style="0" width="14"/>
    <col collapsed="false" customWidth="true" hidden="false" outlineLevel="0" max="14" min="14" style="0" width="8"/>
    <col collapsed="false" customWidth="true" hidden="false" outlineLevel="0" max="15" min="15" style="0" width="11"/>
    <col collapsed="false" customWidth="true" hidden="false" outlineLevel="0" max="16" min="16" style="0" width="8"/>
    <col collapsed="false" customWidth="true" hidden="false" outlineLevel="0" max="17" min="17" style="0" width="11"/>
    <col collapsed="false" customWidth="true" hidden="false" outlineLevel="0" max="18" min="18" style="0" width="18"/>
    <col collapsed="false" customWidth="true" hidden="false" outlineLevel="0" max="19" min="19" style="0" width="16"/>
    <col collapsed="false" customWidth="true" hidden="false" outlineLevel="0" max="20" min="20" style="0" width="11"/>
    <col collapsed="false" customWidth="true" hidden="false" outlineLevel="0" max="21" min="21" style="0" width="13"/>
    <col collapsed="false" customWidth="true" hidden="false" outlineLevel="0" max="22" min="22" style="0" width="10"/>
    <col collapsed="false" customWidth="true" hidden="false" outlineLevel="0" max="23" min="23" style="0" width="9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s">
        <v>23</v>
      </c>
      <c r="B2" s="2" t="s">
        <v>24</v>
      </c>
      <c r="C2" s="3" t="s">
        <v>25</v>
      </c>
      <c r="D2" s="2" t="n">
        <v>1</v>
      </c>
      <c r="E2" s="3" t="s">
        <v>26</v>
      </c>
      <c r="F2" s="3" t="s">
        <v>27</v>
      </c>
      <c r="G2" s="2" t="s">
        <v>28</v>
      </c>
      <c r="H2" s="4" t="n">
        <v>45</v>
      </c>
      <c r="I2" s="5" t="n">
        <v>40</v>
      </c>
      <c r="J2" s="2" t="s">
        <v>29</v>
      </c>
      <c r="K2" s="6"/>
      <c r="L2" s="4" t="n">
        <v>45</v>
      </c>
      <c r="M2" s="4" t="n">
        <v>1525.42</v>
      </c>
      <c r="N2" s="6" t="n">
        <v>0.09</v>
      </c>
      <c r="O2" s="4" t="n">
        <v>137.29</v>
      </c>
      <c r="P2" s="6" t="n">
        <v>0.09</v>
      </c>
      <c r="Q2" s="4" t="n">
        <v>137.29</v>
      </c>
      <c r="R2" s="7" t="n">
        <f aca="false">M2+O2+P2</f>
        <v>1662.8</v>
      </c>
      <c r="S2" s="7" t="n">
        <f aca="false">H2*I2</f>
        <v>1800</v>
      </c>
      <c r="T2" s="7" t="str">
        <f aca="false">IF(K2="","",ROUND(H2*(1-K2),2))</f>
        <v/>
      </c>
      <c r="U2" s="7" t="n">
        <f aca="false">ROUND(L2*I2/1.18,2)</f>
        <v>1525.42</v>
      </c>
      <c r="V2" s="7" t="n">
        <f aca="false">ROUND(M2-U2,2)</f>
        <v>0</v>
      </c>
      <c r="W2" s="8" t="str">
        <f aca="false">IF(ABS(V2)&gt;0.011,"CHECK","OK")</f>
        <v>OK</v>
      </c>
    </row>
    <row r="3" customFormat="false" ht="15" hidden="false" customHeight="false" outlineLevel="0" collapsed="false">
      <c r="A3" s="2" t="s">
        <v>23</v>
      </c>
      <c r="B3" s="2" t="s">
        <v>24</v>
      </c>
      <c r="C3" s="3" t="s">
        <v>30</v>
      </c>
      <c r="D3" s="2" t="n">
        <v>2</v>
      </c>
      <c r="E3" s="3" t="s">
        <v>31</v>
      </c>
      <c r="F3" s="3" t="s">
        <v>32</v>
      </c>
      <c r="G3" s="2" t="s">
        <v>33</v>
      </c>
      <c r="H3" s="4" t="n">
        <v>118</v>
      </c>
      <c r="I3" s="5" t="n">
        <v>5</v>
      </c>
      <c r="J3" s="2" t="s">
        <v>29</v>
      </c>
      <c r="K3" s="6" t="n">
        <v>0.43</v>
      </c>
      <c r="L3" s="4" t="n">
        <v>67.26</v>
      </c>
      <c r="M3" s="4" t="n">
        <v>285</v>
      </c>
      <c r="N3" s="6" t="n">
        <v>0.09</v>
      </c>
      <c r="O3" s="4" t="n">
        <v>25.65</v>
      </c>
      <c r="P3" s="6" t="n">
        <v>0.09</v>
      </c>
      <c r="Q3" s="4" t="n">
        <v>25.65</v>
      </c>
      <c r="R3" s="7" t="n">
        <f aca="false">M3+O3+P3</f>
        <v>310.74</v>
      </c>
      <c r="S3" s="7" t="n">
        <f aca="false">H3*I3</f>
        <v>590</v>
      </c>
      <c r="T3" s="7" t="n">
        <f aca="false">IF(K3="","",ROUND(H3*(1-K3),2))</f>
        <v>67.26</v>
      </c>
      <c r="U3" s="7" t="n">
        <f aca="false">ROUND(L3*I3/1.18,2)</f>
        <v>285</v>
      </c>
      <c r="V3" s="7" t="n">
        <f aca="false">ROUND(M3-U3,2)</f>
        <v>0</v>
      </c>
      <c r="W3" s="8" t="str">
        <f aca="false">IF(ABS(V3)&gt;0.011,"CHECK","OK")</f>
        <v>OK</v>
      </c>
    </row>
    <row r="4" customFormat="false" ht="15" hidden="false" customHeight="false" outlineLevel="0" collapsed="false">
      <c r="A4" s="2" t="s">
        <v>23</v>
      </c>
      <c r="B4" s="2" t="s">
        <v>24</v>
      </c>
      <c r="C4" s="3" t="s">
        <v>30</v>
      </c>
      <c r="D4" s="2" t="n">
        <v>3</v>
      </c>
      <c r="E4" s="3" t="s">
        <v>34</v>
      </c>
      <c r="F4" s="3" t="s">
        <v>35</v>
      </c>
      <c r="G4" s="2" t="s">
        <v>33</v>
      </c>
      <c r="H4" s="4" t="n">
        <v>56</v>
      </c>
      <c r="I4" s="5" t="n">
        <v>5</v>
      </c>
      <c r="J4" s="2" t="s">
        <v>29</v>
      </c>
      <c r="K4" s="6" t="n">
        <v>0.43</v>
      </c>
      <c r="L4" s="4" t="n">
        <v>31.92</v>
      </c>
      <c r="M4" s="4" t="n">
        <v>135.25</v>
      </c>
      <c r="N4" s="6" t="n">
        <v>0.09</v>
      </c>
      <c r="O4" s="4" t="n">
        <v>12.17</v>
      </c>
      <c r="P4" s="6" t="n">
        <v>0.09</v>
      </c>
      <c r="Q4" s="4" t="n">
        <v>12.17</v>
      </c>
      <c r="R4" s="7" t="n">
        <f aca="false">M4+O4+P4</f>
        <v>147.51</v>
      </c>
      <c r="S4" s="7" t="n">
        <f aca="false">H4*I4</f>
        <v>280</v>
      </c>
      <c r="T4" s="7" t="n">
        <f aca="false">IF(K4="","",ROUND(H4*(1-K4),2))</f>
        <v>31.92</v>
      </c>
      <c r="U4" s="7" t="n">
        <f aca="false">ROUND(L4*I4/1.18,2)</f>
        <v>135.25</v>
      </c>
      <c r="V4" s="7" t="n">
        <f aca="false">ROUND(M4-U4,2)</f>
        <v>0</v>
      </c>
      <c r="W4" s="8" t="str">
        <f aca="false">IF(ABS(V4)&gt;0.011,"CHECK","OK")</f>
        <v>OK</v>
      </c>
    </row>
    <row r="5" customFormat="false" ht="15" hidden="false" customHeight="false" outlineLevel="0" collapsed="false">
      <c r="A5" s="2" t="s">
        <v>23</v>
      </c>
      <c r="B5" s="2" t="s">
        <v>24</v>
      </c>
      <c r="C5" s="3" t="s">
        <v>36</v>
      </c>
      <c r="D5" s="2" t="n">
        <v>4</v>
      </c>
      <c r="E5" s="3" t="s">
        <v>37</v>
      </c>
      <c r="F5" s="3" t="s">
        <v>38</v>
      </c>
      <c r="G5" s="2" t="s">
        <v>39</v>
      </c>
      <c r="H5" s="4" t="n">
        <v>726</v>
      </c>
      <c r="I5" s="5" t="n">
        <v>3</v>
      </c>
      <c r="J5" s="2" t="s">
        <v>40</v>
      </c>
      <c r="K5" s="6" t="n">
        <v>0.32</v>
      </c>
      <c r="L5" s="4" t="n">
        <v>493.68</v>
      </c>
      <c r="M5" s="4" t="n">
        <v>1255.12</v>
      </c>
      <c r="N5" s="6" t="n">
        <v>0.09</v>
      </c>
      <c r="O5" s="4" t="n">
        <v>112.96</v>
      </c>
      <c r="P5" s="6" t="n">
        <v>0.09</v>
      </c>
      <c r="Q5" s="4" t="n">
        <v>112.96</v>
      </c>
      <c r="R5" s="7" t="n">
        <f aca="false">M5+O5+P5</f>
        <v>1368.17</v>
      </c>
      <c r="S5" s="7" t="n">
        <f aca="false">H5*I5</f>
        <v>2178</v>
      </c>
      <c r="T5" s="7" t="n">
        <f aca="false">IF(K5="","",ROUND(H5*(1-K5),2))</f>
        <v>493.68</v>
      </c>
      <c r="U5" s="7" t="n">
        <f aca="false">ROUND(L5*I5/1.18,2)</f>
        <v>1255.12</v>
      </c>
      <c r="V5" s="7" t="n">
        <f aca="false">ROUND(M5-U5,2)</f>
        <v>0</v>
      </c>
      <c r="W5" s="8" t="str">
        <f aca="false">IF(ABS(V5)&gt;0.011,"CHECK","OK")</f>
        <v>OK</v>
      </c>
    </row>
    <row r="6" customFormat="false" ht="15" hidden="false" customHeight="false" outlineLevel="0" collapsed="false">
      <c r="A6" s="2" t="s">
        <v>23</v>
      </c>
      <c r="B6" s="2" t="s">
        <v>24</v>
      </c>
      <c r="C6" s="3" t="s">
        <v>36</v>
      </c>
      <c r="D6" s="2" t="n">
        <v>5</v>
      </c>
      <c r="E6" s="3" t="s">
        <v>41</v>
      </c>
      <c r="F6" s="3" t="s">
        <v>42</v>
      </c>
      <c r="G6" s="2" t="s">
        <v>39</v>
      </c>
      <c r="H6" s="4" t="n">
        <v>1575</v>
      </c>
      <c r="I6" s="5" t="n">
        <v>3</v>
      </c>
      <c r="J6" s="2" t="s">
        <v>40</v>
      </c>
      <c r="K6" s="6" t="n">
        <v>0.32</v>
      </c>
      <c r="L6" s="4" t="n">
        <v>1071</v>
      </c>
      <c r="M6" s="4" t="n">
        <v>2722.88</v>
      </c>
      <c r="N6" s="6" t="n">
        <v>0.09</v>
      </c>
      <c r="O6" s="4" t="n">
        <v>245.06</v>
      </c>
      <c r="P6" s="6" t="n">
        <v>0.09</v>
      </c>
      <c r="Q6" s="4" t="n">
        <v>245.06</v>
      </c>
      <c r="R6" s="7" t="n">
        <f aca="false">M6+O6+P6</f>
        <v>2968.03</v>
      </c>
      <c r="S6" s="7" t="n">
        <f aca="false">H6*I6</f>
        <v>4725</v>
      </c>
      <c r="T6" s="7" t="n">
        <f aca="false">IF(K6="","",ROUND(H6*(1-K6),2))</f>
        <v>1071</v>
      </c>
      <c r="U6" s="7" t="n">
        <f aca="false">ROUND(L6*I6/1.18,2)</f>
        <v>2722.88</v>
      </c>
      <c r="V6" s="7" t="n">
        <f aca="false">ROUND(M6-U6,2)</f>
        <v>0</v>
      </c>
      <c r="W6" s="8" t="str">
        <f aca="false">IF(ABS(V6)&gt;0.011,"CHECK","OK")</f>
        <v>OK</v>
      </c>
    </row>
    <row r="7" customFormat="false" ht="15" hidden="false" customHeight="false" outlineLevel="0" collapsed="false">
      <c r="A7" s="2" t="s">
        <v>23</v>
      </c>
      <c r="B7" s="2" t="s">
        <v>24</v>
      </c>
      <c r="C7" s="3" t="s">
        <v>36</v>
      </c>
      <c r="D7" s="2" t="n">
        <v>6</v>
      </c>
      <c r="E7" s="3" t="s">
        <v>43</v>
      </c>
      <c r="F7" s="3" t="s">
        <v>44</v>
      </c>
      <c r="G7" s="2" t="s">
        <v>45</v>
      </c>
      <c r="H7" s="4" t="n">
        <v>1363</v>
      </c>
      <c r="I7" s="5" t="n">
        <v>2</v>
      </c>
      <c r="J7" s="2" t="s">
        <v>40</v>
      </c>
      <c r="K7" s="6" t="n">
        <v>0.32</v>
      </c>
      <c r="L7" s="4" t="n">
        <v>926.84</v>
      </c>
      <c r="M7" s="4" t="n">
        <v>1570.92</v>
      </c>
      <c r="N7" s="6" t="n">
        <v>0.09</v>
      </c>
      <c r="O7" s="4" t="n">
        <v>141.38</v>
      </c>
      <c r="P7" s="6" t="n">
        <v>0.09</v>
      </c>
      <c r="Q7" s="4" t="n">
        <v>141.38</v>
      </c>
      <c r="R7" s="7" t="n">
        <f aca="false">M7+O7+P7</f>
        <v>1712.39</v>
      </c>
      <c r="S7" s="7" t="n">
        <f aca="false">H7*I7</f>
        <v>2726</v>
      </c>
      <c r="T7" s="7" t="n">
        <f aca="false">IF(K7="","",ROUND(H7*(1-K7),2))</f>
        <v>926.84</v>
      </c>
      <c r="U7" s="7" t="n">
        <f aca="false">ROUND(L7*I7/1.18,2)</f>
        <v>1570.92</v>
      </c>
      <c r="V7" s="7" t="n">
        <f aca="false">ROUND(M7-U7,2)</f>
        <v>0</v>
      </c>
      <c r="W7" s="8" t="str">
        <f aca="false">IF(ABS(V7)&gt;0.011,"CHECK","OK")</f>
        <v>OK</v>
      </c>
    </row>
    <row r="8" customFormat="false" ht="15" hidden="false" customHeight="false" outlineLevel="0" collapsed="false">
      <c r="A8" s="2" t="s">
        <v>23</v>
      </c>
      <c r="B8" s="2" t="s">
        <v>24</v>
      </c>
      <c r="C8" s="3" t="s">
        <v>36</v>
      </c>
      <c r="D8" s="2" t="n">
        <v>7</v>
      </c>
      <c r="E8" s="3" t="s">
        <v>46</v>
      </c>
      <c r="F8" s="3" t="s">
        <v>47</v>
      </c>
      <c r="G8" s="2" t="s">
        <v>45</v>
      </c>
      <c r="H8" s="4" t="n">
        <v>1148</v>
      </c>
      <c r="I8" s="5" t="n">
        <v>2</v>
      </c>
      <c r="J8" s="2" t="s">
        <v>40</v>
      </c>
      <c r="K8" s="6" t="n">
        <v>0.32</v>
      </c>
      <c r="L8" s="4" t="n">
        <v>780.64</v>
      </c>
      <c r="M8" s="4" t="n">
        <v>1323.12</v>
      </c>
      <c r="N8" s="6" t="n">
        <v>0.09</v>
      </c>
      <c r="O8" s="4" t="n">
        <v>119.08</v>
      </c>
      <c r="P8" s="6" t="n">
        <v>0.09</v>
      </c>
      <c r="Q8" s="4" t="n">
        <v>119.08</v>
      </c>
      <c r="R8" s="7" t="n">
        <f aca="false">M8+O8+P8</f>
        <v>1442.29</v>
      </c>
      <c r="S8" s="7" t="n">
        <f aca="false">H8*I8</f>
        <v>2296</v>
      </c>
      <c r="T8" s="7" t="n">
        <f aca="false">IF(K8="","",ROUND(H8*(1-K8),2))</f>
        <v>780.64</v>
      </c>
      <c r="U8" s="7" t="n">
        <f aca="false">ROUND(L8*I8/1.18,2)</f>
        <v>1323.12</v>
      </c>
      <c r="V8" s="7" t="n">
        <f aca="false">ROUND(M8-U8,2)</f>
        <v>0</v>
      </c>
      <c r="W8" s="8" t="str">
        <f aca="false">IF(ABS(V8)&gt;0.011,"CHECK","OK")</f>
        <v>OK</v>
      </c>
    </row>
    <row r="9" customFormat="false" ht="15" hidden="false" customHeight="false" outlineLevel="0" collapsed="false">
      <c r="A9" s="2" t="s">
        <v>23</v>
      </c>
      <c r="B9" s="2" t="s">
        <v>24</v>
      </c>
      <c r="C9" s="3" t="s">
        <v>36</v>
      </c>
      <c r="D9" s="2" t="n">
        <v>8</v>
      </c>
      <c r="E9" s="3" t="s">
        <v>48</v>
      </c>
      <c r="F9" s="3" t="s">
        <v>49</v>
      </c>
      <c r="G9" s="2" t="s">
        <v>45</v>
      </c>
      <c r="H9" s="4" t="n">
        <v>1426</v>
      </c>
      <c r="I9" s="5" t="n">
        <v>1</v>
      </c>
      <c r="J9" s="2" t="s">
        <v>40</v>
      </c>
      <c r="K9" s="6" t="n">
        <v>0.32</v>
      </c>
      <c r="L9" s="4" t="n">
        <v>969.68</v>
      </c>
      <c r="M9" s="4" t="n">
        <v>821.76</v>
      </c>
      <c r="N9" s="6" t="n">
        <v>0.09</v>
      </c>
      <c r="O9" s="4" t="n">
        <v>73.96</v>
      </c>
      <c r="P9" s="6" t="n">
        <v>0.09</v>
      </c>
      <c r="Q9" s="4" t="n">
        <v>73.96</v>
      </c>
      <c r="R9" s="7" t="n">
        <f aca="false">M9+O9+P9</f>
        <v>895.81</v>
      </c>
      <c r="S9" s="7" t="n">
        <f aca="false">H9*I9</f>
        <v>1426</v>
      </c>
      <c r="T9" s="7" t="n">
        <f aca="false">IF(K9="","",ROUND(H9*(1-K9),2))</f>
        <v>969.68</v>
      </c>
      <c r="U9" s="7" t="n">
        <f aca="false">ROUND(L9*I9/1.18,2)</f>
        <v>821.76</v>
      </c>
      <c r="V9" s="7" t="n">
        <f aca="false">ROUND(M9-U9,2)</f>
        <v>0</v>
      </c>
      <c r="W9" s="8" t="str">
        <f aca="false">IF(ABS(V9)&gt;0.011,"CHECK","OK")</f>
        <v>OK</v>
      </c>
    </row>
    <row r="10" customFormat="false" ht="15" hidden="false" customHeight="false" outlineLevel="0" collapsed="false">
      <c r="A10" s="2" t="s">
        <v>23</v>
      </c>
      <c r="B10" s="2" t="s">
        <v>24</v>
      </c>
      <c r="C10" s="3" t="s">
        <v>36</v>
      </c>
      <c r="D10" s="2" t="n">
        <v>9</v>
      </c>
      <c r="E10" s="3" t="s">
        <v>50</v>
      </c>
      <c r="F10" s="3" t="s">
        <v>51</v>
      </c>
      <c r="G10" s="2" t="s">
        <v>45</v>
      </c>
      <c r="H10" s="4" t="n">
        <v>1541</v>
      </c>
      <c r="I10" s="5" t="n">
        <v>2</v>
      </c>
      <c r="J10" s="2" t="s">
        <v>40</v>
      </c>
      <c r="K10" s="6" t="n">
        <v>0.32</v>
      </c>
      <c r="L10" s="4" t="n">
        <v>1047.88</v>
      </c>
      <c r="M10" s="4" t="n">
        <v>1776.07</v>
      </c>
      <c r="N10" s="6" t="n">
        <v>0.09</v>
      </c>
      <c r="O10" s="4" t="n">
        <v>159.84</v>
      </c>
      <c r="P10" s="6" t="n">
        <v>0.09</v>
      </c>
      <c r="Q10" s="4" t="n">
        <v>159.84</v>
      </c>
      <c r="R10" s="7" t="n">
        <f aca="false">M10+O10+P10</f>
        <v>1936</v>
      </c>
      <c r="S10" s="7" t="n">
        <f aca="false">H10*I10</f>
        <v>3082</v>
      </c>
      <c r="T10" s="7" t="n">
        <f aca="false">IF(K10="","",ROUND(H10*(1-K10),2))</f>
        <v>1047.88</v>
      </c>
      <c r="U10" s="7" t="n">
        <f aca="false">ROUND(L10*I10/1.18,2)</f>
        <v>1776.07</v>
      </c>
      <c r="V10" s="7" t="n">
        <f aca="false">ROUND(M10-U10,2)</f>
        <v>0</v>
      </c>
      <c r="W10" s="8" t="str">
        <f aca="false">IF(ABS(V10)&gt;0.011,"CHECK","OK")</f>
        <v>OK</v>
      </c>
    </row>
    <row r="11" customFormat="false" ht="15" hidden="false" customHeight="false" outlineLevel="0" collapsed="false">
      <c r="A11" s="2" t="s">
        <v>23</v>
      </c>
      <c r="B11" s="2" t="s">
        <v>24</v>
      </c>
      <c r="C11" s="3" t="s">
        <v>52</v>
      </c>
      <c r="D11" s="2" t="n">
        <v>10</v>
      </c>
      <c r="E11" s="3" t="s">
        <v>53</v>
      </c>
      <c r="F11" s="3" t="s">
        <v>54</v>
      </c>
      <c r="G11" s="2" t="s">
        <v>28</v>
      </c>
      <c r="H11" s="4" t="n">
        <v>527</v>
      </c>
      <c r="I11" s="5" t="n">
        <v>4</v>
      </c>
      <c r="J11" s="2" t="s">
        <v>29</v>
      </c>
      <c r="K11" s="6" t="n">
        <v>0.32</v>
      </c>
      <c r="L11" s="4" t="n">
        <v>358.36</v>
      </c>
      <c r="M11" s="4" t="n">
        <v>1214.78</v>
      </c>
      <c r="N11" s="6" t="n">
        <v>0.09</v>
      </c>
      <c r="O11" s="4" t="n">
        <v>109.33</v>
      </c>
      <c r="P11" s="6" t="n">
        <v>0.09</v>
      </c>
      <c r="Q11" s="4" t="n">
        <v>109.33</v>
      </c>
      <c r="R11" s="7" t="n">
        <f aca="false">M11+O11+P11</f>
        <v>1324.2</v>
      </c>
      <c r="S11" s="7" t="n">
        <f aca="false">H11*I11</f>
        <v>2108</v>
      </c>
      <c r="T11" s="7" t="n">
        <f aca="false">IF(K11="","",ROUND(H11*(1-K11),2))</f>
        <v>358.36</v>
      </c>
      <c r="U11" s="7" t="n">
        <f aca="false">ROUND(L11*I11/1.18,2)</f>
        <v>1214.78</v>
      </c>
      <c r="V11" s="7" t="n">
        <f aca="false">ROUND(M11-U11,2)</f>
        <v>0</v>
      </c>
      <c r="W11" s="8" t="str">
        <f aca="false">IF(ABS(V11)&gt;0.011,"CHECK","OK")</f>
        <v>OK</v>
      </c>
    </row>
    <row r="12" customFormat="false" ht="15" hidden="false" customHeight="false" outlineLevel="0" collapsed="false">
      <c r="A12" s="2" t="s">
        <v>23</v>
      </c>
      <c r="B12" s="2" t="s">
        <v>24</v>
      </c>
      <c r="C12" s="3" t="s">
        <v>52</v>
      </c>
      <c r="D12" s="2" t="n">
        <v>11</v>
      </c>
      <c r="E12" s="3" t="s">
        <v>55</v>
      </c>
      <c r="F12" s="3" t="s">
        <v>56</v>
      </c>
      <c r="G12" s="2" t="s">
        <v>28</v>
      </c>
      <c r="H12" s="4" t="n">
        <v>695</v>
      </c>
      <c r="I12" s="5" t="n">
        <v>1</v>
      </c>
      <c r="J12" s="2"/>
      <c r="K12" s="6" t="n">
        <v>0.32</v>
      </c>
      <c r="L12" s="4" t="n">
        <v>472.6</v>
      </c>
      <c r="M12" s="4" t="n">
        <v>400.51</v>
      </c>
      <c r="N12" s="6" t="n">
        <v>0.09</v>
      </c>
      <c r="O12" s="4" t="n">
        <v>36.04</v>
      </c>
      <c r="P12" s="6" t="n">
        <v>0.09</v>
      </c>
      <c r="Q12" s="4" t="n">
        <v>36.04</v>
      </c>
      <c r="R12" s="7" t="n">
        <f aca="false">M12+O12+P12</f>
        <v>436.64</v>
      </c>
      <c r="S12" s="7" t="n">
        <f aca="false">H12*I12</f>
        <v>695</v>
      </c>
      <c r="T12" s="7" t="n">
        <f aca="false">IF(K12="","",ROUND(H12*(1-K12),2))</f>
        <v>472.6</v>
      </c>
      <c r="U12" s="7" t="n">
        <f aca="false">ROUND(L12*I12/1.18,2)</f>
        <v>400.51</v>
      </c>
      <c r="V12" s="7" t="n">
        <f aca="false">ROUND(M12-U12,2)</f>
        <v>0</v>
      </c>
      <c r="W12" s="8" t="str">
        <f aca="false">IF(ABS(V12)&gt;0.011,"CHECK","OK")</f>
        <v>OK</v>
      </c>
    </row>
    <row r="13" customFormat="false" ht="15" hidden="false" customHeight="false" outlineLevel="0" collapsed="false">
      <c r="A13" s="2" t="s">
        <v>23</v>
      </c>
      <c r="B13" s="2" t="s">
        <v>24</v>
      </c>
      <c r="C13" s="3" t="s">
        <v>52</v>
      </c>
      <c r="D13" s="2" t="n">
        <v>12</v>
      </c>
      <c r="E13" s="3" t="s">
        <v>57</v>
      </c>
      <c r="F13" s="3" t="s">
        <v>58</v>
      </c>
      <c r="G13" s="2" t="s">
        <v>28</v>
      </c>
      <c r="H13" s="4" t="n">
        <v>438</v>
      </c>
      <c r="I13" s="5" t="n">
        <v>3</v>
      </c>
      <c r="J13" s="2" t="s">
        <v>29</v>
      </c>
      <c r="K13" s="6" t="n">
        <v>0.32</v>
      </c>
      <c r="L13" s="4" t="n">
        <v>297.84</v>
      </c>
      <c r="M13" s="4" t="n">
        <v>757.22</v>
      </c>
      <c r="N13" s="6" t="n">
        <v>0.09</v>
      </c>
      <c r="O13" s="4" t="n">
        <v>68.15</v>
      </c>
      <c r="P13" s="6" t="n">
        <v>0.09</v>
      </c>
      <c r="Q13" s="4" t="n">
        <v>68.15</v>
      </c>
      <c r="R13" s="7" t="n">
        <f aca="false">M13+O13+P13</f>
        <v>825.46</v>
      </c>
      <c r="S13" s="7" t="n">
        <f aca="false">H13*I13</f>
        <v>1314</v>
      </c>
      <c r="T13" s="7" t="n">
        <f aca="false">IF(K13="","",ROUND(H13*(1-K13),2))</f>
        <v>297.84</v>
      </c>
      <c r="U13" s="7" t="n">
        <f aca="false">ROUND(L13*I13/1.18,2)</f>
        <v>757.22</v>
      </c>
      <c r="V13" s="7" t="n">
        <f aca="false">ROUND(M13-U13,2)</f>
        <v>0</v>
      </c>
      <c r="W13" s="8" t="str">
        <f aca="false">IF(ABS(V13)&gt;0.011,"CHECK","OK")</f>
        <v>OK</v>
      </c>
    </row>
    <row r="14" customFormat="false" ht="15" hidden="false" customHeight="false" outlineLevel="0" collapsed="false">
      <c r="A14" s="2" t="s">
        <v>23</v>
      </c>
      <c r="B14" s="2" t="s">
        <v>24</v>
      </c>
      <c r="C14" s="3" t="s">
        <v>52</v>
      </c>
      <c r="D14" s="2" t="n">
        <v>13</v>
      </c>
      <c r="E14" s="3" t="s">
        <v>59</v>
      </c>
      <c r="F14" s="3" t="s">
        <v>60</v>
      </c>
      <c r="G14" s="2" t="s">
        <v>28</v>
      </c>
      <c r="H14" s="4" t="n">
        <v>694</v>
      </c>
      <c r="I14" s="5" t="n">
        <v>2</v>
      </c>
      <c r="J14" s="2" t="s">
        <v>29</v>
      </c>
      <c r="K14" s="6" t="n">
        <v>0.32</v>
      </c>
      <c r="L14" s="4" t="n">
        <v>471.92</v>
      </c>
      <c r="M14" s="4" t="n">
        <v>799.86</v>
      </c>
      <c r="N14" s="6" t="n">
        <v>0.09</v>
      </c>
      <c r="O14" s="4" t="n">
        <v>71.99</v>
      </c>
      <c r="P14" s="6" t="n">
        <v>0.09</v>
      </c>
      <c r="Q14" s="4" t="n">
        <v>71.99</v>
      </c>
      <c r="R14" s="7" t="n">
        <f aca="false">M14+O14+P14</f>
        <v>871.94</v>
      </c>
      <c r="S14" s="7" t="n">
        <f aca="false">H14*I14</f>
        <v>1388</v>
      </c>
      <c r="T14" s="7" t="n">
        <f aca="false">IF(K14="","",ROUND(H14*(1-K14),2))</f>
        <v>471.92</v>
      </c>
      <c r="U14" s="7" t="n">
        <f aca="false">ROUND(L14*I14/1.18,2)</f>
        <v>799.86</v>
      </c>
      <c r="V14" s="7" t="n">
        <f aca="false">ROUND(M14-U14,2)</f>
        <v>0</v>
      </c>
      <c r="W14" s="8" t="str">
        <f aca="false">IF(ABS(V14)&gt;0.011,"CHECK","OK")</f>
        <v>OK</v>
      </c>
    </row>
    <row r="15" customFormat="false" ht="15" hidden="false" customHeight="false" outlineLevel="0" collapsed="false">
      <c r="A15" s="2" t="s">
        <v>23</v>
      </c>
      <c r="B15" s="2" t="s">
        <v>24</v>
      </c>
      <c r="C15" s="3" t="s">
        <v>52</v>
      </c>
      <c r="D15" s="2" t="n">
        <v>14</v>
      </c>
      <c r="E15" s="3" t="s">
        <v>61</v>
      </c>
      <c r="F15" s="3" t="s">
        <v>62</v>
      </c>
      <c r="G15" s="2" t="s">
        <v>28</v>
      </c>
      <c r="H15" s="4" t="n">
        <v>583</v>
      </c>
      <c r="I15" s="5" t="n">
        <v>1</v>
      </c>
      <c r="J15" s="2" t="s">
        <v>40</v>
      </c>
      <c r="K15" s="6" t="n">
        <v>0.32</v>
      </c>
      <c r="L15" s="4" t="n">
        <v>396.44</v>
      </c>
      <c r="M15" s="4" t="n">
        <v>335.97</v>
      </c>
      <c r="N15" s="6" t="n">
        <v>0.09</v>
      </c>
      <c r="O15" s="4" t="n">
        <v>30.23</v>
      </c>
      <c r="P15" s="6" t="n">
        <v>0.09</v>
      </c>
      <c r="Q15" s="4" t="n">
        <v>30.23</v>
      </c>
      <c r="R15" s="7" t="n">
        <f aca="false">M15+O15+P15</f>
        <v>366.29</v>
      </c>
      <c r="S15" s="7" t="n">
        <f aca="false">H15*I15</f>
        <v>583</v>
      </c>
      <c r="T15" s="7" t="n">
        <f aca="false">IF(K15="","",ROUND(H15*(1-K15),2))</f>
        <v>396.44</v>
      </c>
      <c r="U15" s="7" t="n">
        <f aca="false">ROUND(L15*I15/1.18,2)</f>
        <v>335.97</v>
      </c>
      <c r="V15" s="7" t="n">
        <f aca="false">ROUND(M15-U15,2)</f>
        <v>0</v>
      </c>
      <c r="W15" s="8" t="str">
        <f aca="false">IF(ABS(V15)&gt;0.011,"CHECK","OK")</f>
        <v>OK</v>
      </c>
    </row>
    <row r="16" customFormat="false" ht="15" hidden="false" customHeight="false" outlineLevel="0" collapsed="false">
      <c r="A16" s="2" t="s">
        <v>23</v>
      </c>
      <c r="B16" s="2" t="s">
        <v>24</v>
      </c>
      <c r="C16" s="3" t="s">
        <v>52</v>
      </c>
      <c r="D16" s="2" t="n">
        <v>15</v>
      </c>
      <c r="E16" s="3" t="s">
        <v>63</v>
      </c>
      <c r="F16" s="3" t="s">
        <v>64</v>
      </c>
      <c r="G16" s="2" t="s">
        <v>28</v>
      </c>
      <c r="H16" s="4" t="n">
        <v>445</v>
      </c>
      <c r="I16" s="5" t="n">
        <v>4</v>
      </c>
      <c r="J16" s="2" t="s">
        <v>29</v>
      </c>
      <c r="K16" s="6" t="n">
        <v>0.32</v>
      </c>
      <c r="L16" s="4" t="n">
        <v>302.6</v>
      </c>
      <c r="M16" s="4" t="n">
        <v>1025.76</v>
      </c>
      <c r="N16" s="6" t="n">
        <v>0.09</v>
      </c>
      <c r="O16" s="4" t="n">
        <v>92.32</v>
      </c>
      <c r="P16" s="6" t="n">
        <v>0.09</v>
      </c>
      <c r="Q16" s="4" t="n">
        <v>92.32</v>
      </c>
      <c r="R16" s="7" t="n">
        <f aca="false">M16+O16+P16</f>
        <v>1118.17</v>
      </c>
      <c r="S16" s="7" t="n">
        <f aca="false">H16*I16</f>
        <v>1780</v>
      </c>
      <c r="T16" s="7" t="n">
        <f aca="false">IF(K16="","",ROUND(H16*(1-K16),2))</f>
        <v>302.6</v>
      </c>
      <c r="U16" s="7" t="n">
        <f aca="false">ROUND(L16*I16/1.18,2)</f>
        <v>1025.76</v>
      </c>
      <c r="V16" s="7" t="n">
        <f aca="false">ROUND(M16-U16,2)</f>
        <v>0</v>
      </c>
      <c r="W16" s="8" t="str">
        <f aca="false">IF(ABS(V16)&gt;0.011,"CHECK","OK")</f>
        <v>OK</v>
      </c>
    </row>
    <row r="17" customFormat="false" ht="15" hidden="false" customHeight="false" outlineLevel="0" collapsed="false">
      <c r="A17" s="2" t="s">
        <v>23</v>
      </c>
      <c r="B17" s="2" t="s">
        <v>24</v>
      </c>
      <c r="C17" s="3" t="s">
        <v>52</v>
      </c>
      <c r="D17" s="2" t="n">
        <v>16</v>
      </c>
      <c r="E17" s="3" t="s">
        <v>65</v>
      </c>
      <c r="F17" s="3" t="s">
        <v>66</v>
      </c>
      <c r="G17" s="2" t="s">
        <v>28</v>
      </c>
      <c r="H17" s="4" t="n">
        <v>194</v>
      </c>
      <c r="I17" s="5" t="n">
        <v>10</v>
      </c>
      <c r="J17" s="2" t="s">
        <v>40</v>
      </c>
      <c r="K17" s="6" t="n">
        <v>0.35</v>
      </c>
      <c r="L17" s="4" t="n">
        <v>126.1</v>
      </c>
      <c r="M17" s="4" t="n">
        <v>1068.64</v>
      </c>
      <c r="N17" s="6" t="n">
        <v>0.09</v>
      </c>
      <c r="O17" s="4" t="n">
        <v>96.18</v>
      </c>
      <c r="P17" s="6" t="n">
        <v>0.09</v>
      </c>
      <c r="Q17" s="4" t="n">
        <v>96.18</v>
      </c>
      <c r="R17" s="7" t="n">
        <f aca="false">M17+O17+P17</f>
        <v>1164.91</v>
      </c>
      <c r="S17" s="7" t="n">
        <f aca="false">H17*I17</f>
        <v>1940</v>
      </c>
      <c r="T17" s="7" t="n">
        <f aca="false">IF(K17="","",ROUND(H17*(1-K17),2))</f>
        <v>126.1</v>
      </c>
      <c r="U17" s="7" t="n">
        <f aca="false">ROUND(L17*I17/1.18,2)</f>
        <v>1068.64</v>
      </c>
      <c r="V17" s="7" t="n">
        <f aca="false">ROUND(M17-U17,2)</f>
        <v>0</v>
      </c>
      <c r="W17" s="8" t="str">
        <f aca="false">IF(ABS(V17)&gt;0.011,"CHECK","OK")</f>
        <v>OK</v>
      </c>
    </row>
    <row r="18" customFormat="false" ht="15" hidden="false" customHeight="false" outlineLevel="0" collapsed="false">
      <c r="A18" s="2" t="s">
        <v>23</v>
      </c>
      <c r="B18" s="2" t="s">
        <v>24</v>
      </c>
      <c r="C18" s="3" t="s">
        <v>52</v>
      </c>
      <c r="D18" s="2" t="n">
        <v>17</v>
      </c>
      <c r="E18" s="3" t="s">
        <v>65</v>
      </c>
      <c r="F18" s="3" t="s">
        <v>67</v>
      </c>
      <c r="G18" s="2" t="s">
        <v>28</v>
      </c>
      <c r="H18" s="4" t="n">
        <v>184</v>
      </c>
      <c r="I18" s="5" t="n">
        <v>10</v>
      </c>
      <c r="J18" s="2" t="s">
        <v>68</v>
      </c>
      <c r="K18" s="6" t="n">
        <v>0.35</v>
      </c>
      <c r="L18" s="4" t="n">
        <v>119.6</v>
      </c>
      <c r="M18" s="4" t="n">
        <v>1013.56</v>
      </c>
      <c r="N18" s="6" t="n">
        <v>0.09</v>
      </c>
      <c r="O18" s="4" t="n">
        <v>91.22</v>
      </c>
      <c r="P18" s="6" t="n">
        <v>0.09</v>
      </c>
      <c r="Q18" s="4" t="n">
        <v>91.22</v>
      </c>
      <c r="R18" s="7" t="n">
        <f aca="false">M18+O18+P18</f>
        <v>1104.87</v>
      </c>
      <c r="S18" s="7" t="n">
        <f aca="false">H18*I18</f>
        <v>1840</v>
      </c>
      <c r="T18" s="7" t="n">
        <f aca="false">IF(K18="","",ROUND(H18*(1-K18),2))</f>
        <v>119.6</v>
      </c>
      <c r="U18" s="7" t="n">
        <f aca="false">ROUND(L18*I18/1.18,2)</f>
        <v>1013.56</v>
      </c>
      <c r="V18" s="7" t="n">
        <f aca="false">ROUND(M18-U18,2)</f>
        <v>0</v>
      </c>
      <c r="W18" s="8" t="str">
        <f aca="false">IF(ABS(V18)&gt;0.011,"CHECK","OK")</f>
        <v>OK</v>
      </c>
    </row>
    <row r="19" customFormat="false" ht="15" hidden="false" customHeight="false" outlineLevel="0" collapsed="false">
      <c r="A19" s="2" t="s">
        <v>23</v>
      </c>
      <c r="B19" s="2" t="s">
        <v>24</v>
      </c>
      <c r="C19" s="3" t="s">
        <v>52</v>
      </c>
      <c r="D19" s="2" t="n">
        <v>18</v>
      </c>
      <c r="E19" s="3" t="s">
        <v>69</v>
      </c>
      <c r="F19" s="3" t="s">
        <v>70</v>
      </c>
      <c r="G19" s="2" t="s">
        <v>28</v>
      </c>
      <c r="H19" s="4" t="n">
        <v>598</v>
      </c>
      <c r="I19" s="5" t="n">
        <v>1</v>
      </c>
      <c r="J19" s="2" t="s">
        <v>29</v>
      </c>
      <c r="K19" s="6" t="n">
        <v>0.32</v>
      </c>
      <c r="L19" s="4" t="n">
        <v>406.64</v>
      </c>
      <c r="M19" s="4" t="n">
        <v>344.61</v>
      </c>
      <c r="N19" s="6" t="n">
        <v>0.09</v>
      </c>
      <c r="O19" s="4" t="n">
        <v>31.01</v>
      </c>
      <c r="P19" s="6" t="n">
        <v>0.09</v>
      </c>
      <c r="Q19" s="4" t="n">
        <v>31.01</v>
      </c>
      <c r="R19" s="7" t="n">
        <f aca="false">M19+O19+P19</f>
        <v>375.71</v>
      </c>
      <c r="S19" s="7" t="n">
        <f aca="false">H19*I19</f>
        <v>598</v>
      </c>
      <c r="T19" s="7" t="n">
        <f aca="false">IF(K19="","",ROUND(H19*(1-K19),2))</f>
        <v>406.64</v>
      </c>
      <c r="U19" s="7" t="n">
        <f aca="false">ROUND(L19*I19/1.18,2)</f>
        <v>344.61</v>
      </c>
      <c r="V19" s="7" t="n">
        <f aca="false">ROUND(M19-U19,2)</f>
        <v>0</v>
      </c>
      <c r="W19" s="8" t="str">
        <f aca="false">IF(ABS(V19)&gt;0.011,"CHECK","OK")</f>
        <v>OK</v>
      </c>
    </row>
    <row r="20" customFormat="false" ht="15" hidden="false" customHeight="false" outlineLevel="0" collapsed="false">
      <c r="A20" s="2" t="s">
        <v>23</v>
      </c>
      <c r="B20" s="2" t="s">
        <v>24</v>
      </c>
      <c r="C20" s="3" t="s">
        <v>52</v>
      </c>
      <c r="D20" s="2" t="n">
        <v>19</v>
      </c>
      <c r="E20" s="3" t="s">
        <v>69</v>
      </c>
      <c r="F20" s="3" t="s">
        <v>70</v>
      </c>
      <c r="G20" s="2" t="s">
        <v>28</v>
      </c>
      <c r="H20" s="4" t="n">
        <v>598</v>
      </c>
      <c r="I20" s="5" t="n">
        <v>1</v>
      </c>
      <c r="J20" s="2" t="s">
        <v>29</v>
      </c>
      <c r="K20" s="6" t="n">
        <v>0.32</v>
      </c>
      <c r="L20" s="4" t="n">
        <v>406.64</v>
      </c>
      <c r="M20" s="4" t="n">
        <v>344.61</v>
      </c>
      <c r="N20" s="6" t="n">
        <v>0.09</v>
      </c>
      <c r="O20" s="4" t="n">
        <v>31.01</v>
      </c>
      <c r="P20" s="6" t="n">
        <v>0.09</v>
      </c>
      <c r="Q20" s="4" t="n">
        <v>31.01</v>
      </c>
      <c r="R20" s="7" t="n">
        <f aca="false">M20+O20+P20</f>
        <v>375.71</v>
      </c>
      <c r="S20" s="7" t="n">
        <f aca="false">H20*I20</f>
        <v>598</v>
      </c>
      <c r="T20" s="7" t="n">
        <f aca="false">IF(K20="","",ROUND(H20*(1-K20),2))</f>
        <v>406.64</v>
      </c>
      <c r="U20" s="7" t="n">
        <f aca="false">ROUND(L20*I20/1.18,2)</f>
        <v>344.61</v>
      </c>
      <c r="V20" s="7" t="n">
        <f aca="false">ROUND(M20-U20,2)</f>
        <v>0</v>
      </c>
      <c r="W20" s="8" t="str">
        <f aca="false">IF(ABS(V20)&gt;0.011,"CHECK","OK")</f>
        <v>OK</v>
      </c>
    </row>
    <row r="21" customFormat="false" ht="15" hidden="false" customHeight="false" outlineLevel="0" collapsed="false">
      <c r="A21" s="2" t="s">
        <v>23</v>
      </c>
      <c r="B21" s="2" t="s">
        <v>24</v>
      </c>
      <c r="C21" s="3" t="s">
        <v>52</v>
      </c>
      <c r="D21" s="2" t="n">
        <v>20</v>
      </c>
      <c r="E21" s="3" t="s">
        <v>71</v>
      </c>
      <c r="F21" s="3" t="s">
        <v>72</v>
      </c>
      <c r="G21" s="2" t="s">
        <v>28</v>
      </c>
      <c r="H21" s="4" t="n">
        <v>568</v>
      </c>
      <c r="I21" s="5" t="n">
        <v>2</v>
      </c>
      <c r="J21" s="2" t="s">
        <v>29</v>
      </c>
      <c r="K21" s="6" t="n">
        <v>0.32</v>
      </c>
      <c r="L21" s="4" t="n">
        <v>386.24</v>
      </c>
      <c r="M21" s="4" t="n">
        <v>654.64</v>
      </c>
      <c r="N21" s="6" t="n">
        <v>0.09</v>
      </c>
      <c r="O21" s="4" t="n">
        <v>58.92</v>
      </c>
      <c r="P21" s="6" t="n">
        <v>0.09</v>
      </c>
      <c r="Q21" s="4" t="n">
        <v>58.92</v>
      </c>
      <c r="R21" s="7" t="n">
        <f aca="false">M21+O21+P21</f>
        <v>713.65</v>
      </c>
      <c r="S21" s="7" t="n">
        <f aca="false">H21*I21</f>
        <v>1136</v>
      </c>
      <c r="T21" s="7" t="n">
        <f aca="false">IF(K21="","",ROUND(H21*(1-K21),2))</f>
        <v>386.24</v>
      </c>
      <c r="U21" s="7" t="n">
        <f aca="false">ROUND(L21*I21/1.18,2)</f>
        <v>654.64</v>
      </c>
      <c r="V21" s="7" t="n">
        <f aca="false">ROUND(M21-U21,2)</f>
        <v>0</v>
      </c>
      <c r="W21" s="8" t="str">
        <f aca="false">IF(ABS(V21)&gt;0.011,"CHECK","OK")</f>
        <v>OK</v>
      </c>
    </row>
    <row r="22" customFormat="false" ht="15" hidden="false" customHeight="false" outlineLevel="0" collapsed="false">
      <c r="A22" s="2" t="s">
        <v>23</v>
      </c>
      <c r="B22" s="2" t="s">
        <v>24</v>
      </c>
      <c r="C22" s="3" t="s">
        <v>52</v>
      </c>
      <c r="D22" s="2" t="n">
        <v>21</v>
      </c>
      <c r="E22" s="3" t="s">
        <v>73</v>
      </c>
      <c r="F22" s="3" t="s">
        <v>74</v>
      </c>
      <c r="G22" s="2" t="s">
        <v>28</v>
      </c>
      <c r="H22" s="4" t="n">
        <v>899</v>
      </c>
      <c r="I22" s="5" t="n">
        <v>2</v>
      </c>
      <c r="J22" s="2" t="s">
        <v>29</v>
      </c>
      <c r="K22" s="6" t="n">
        <v>0.32</v>
      </c>
      <c r="L22" s="4" t="n">
        <v>611.32</v>
      </c>
      <c r="M22" s="4" t="n">
        <v>1036.14</v>
      </c>
      <c r="N22" s="6" t="n">
        <v>0.09</v>
      </c>
      <c r="O22" s="4" t="n">
        <v>93.25</v>
      </c>
      <c r="P22" s="6" t="n">
        <v>0.09</v>
      </c>
      <c r="Q22" s="4" t="n">
        <v>93.25</v>
      </c>
      <c r="R22" s="7" t="n">
        <f aca="false">M22+O22+P22</f>
        <v>1129.48</v>
      </c>
      <c r="S22" s="7" t="n">
        <f aca="false">H22*I22</f>
        <v>1798</v>
      </c>
      <c r="T22" s="7" t="n">
        <f aca="false">IF(K22="","",ROUND(H22*(1-K22),2))</f>
        <v>611.32</v>
      </c>
      <c r="U22" s="7" t="n">
        <f aca="false">ROUND(L22*I22/1.18,2)</f>
        <v>1036.14</v>
      </c>
      <c r="V22" s="7" t="n">
        <f aca="false">ROUND(M22-U22,2)</f>
        <v>0</v>
      </c>
      <c r="W22" s="8" t="str">
        <f aca="false">IF(ABS(V22)&gt;0.011,"CHECK","OK")</f>
        <v>OK</v>
      </c>
    </row>
    <row r="23" customFormat="false" ht="15" hidden="false" customHeight="false" outlineLevel="0" collapsed="false">
      <c r="A23" s="2" t="s">
        <v>23</v>
      </c>
      <c r="B23" s="2" t="s">
        <v>24</v>
      </c>
      <c r="C23" s="3" t="s">
        <v>52</v>
      </c>
      <c r="D23" s="2" t="n">
        <v>22</v>
      </c>
      <c r="E23" s="3" t="s">
        <v>75</v>
      </c>
      <c r="F23" s="3" t="s">
        <v>76</v>
      </c>
      <c r="G23" s="2" t="s">
        <v>28</v>
      </c>
      <c r="H23" s="4" t="n">
        <v>1835</v>
      </c>
      <c r="I23" s="5" t="n">
        <v>2</v>
      </c>
      <c r="J23" s="2" t="s">
        <v>40</v>
      </c>
      <c r="K23" s="6" t="n">
        <v>0.32</v>
      </c>
      <c r="L23" s="4" t="n">
        <v>1247.8</v>
      </c>
      <c r="M23" s="4" t="n">
        <v>2114.92</v>
      </c>
      <c r="N23" s="6" t="n">
        <v>0.09</v>
      </c>
      <c r="O23" s="4" t="n">
        <v>190.34</v>
      </c>
      <c r="P23" s="6" t="n">
        <v>0.09</v>
      </c>
      <c r="Q23" s="4" t="n">
        <v>190.34</v>
      </c>
      <c r="R23" s="7" t="n">
        <f aca="false">M23+O23+P23</f>
        <v>2305.35</v>
      </c>
      <c r="S23" s="7" t="n">
        <f aca="false">H23*I23</f>
        <v>3670</v>
      </c>
      <c r="T23" s="7" t="n">
        <f aca="false">IF(K23="","",ROUND(H23*(1-K23),2))</f>
        <v>1247.8</v>
      </c>
      <c r="U23" s="7" t="n">
        <f aca="false">ROUND(L23*I23/1.18,2)</f>
        <v>2114.92</v>
      </c>
      <c r="V23" s="7" t="n">
        <f aca="false">ROUND(M23-U23,2)</f>
        <v>0</v>
      </c>
      <c r="W23" s="8" t="str">
        <f aca="false">IF(ABS(V23)&gt;0.011,"CHECK","OK")</f>
        <v>OK</v>
      </c>
    </row>
    <row r="24" customFormat="false" ht="15" hidden="false" customHeight="false" outlineLevel="0" collapsed="false">
      <c r="A24" s="2" t="s">
        <v>23</v>
      </c>
      <c r="B24" s="2" t="s">
        <v>24</v>
      </c>
      <c r="C24" s="3" t="s">
        <v>52</v>
      </c>
      <c r="D24" s="2" t="n">
        <v>23</v>
      </c>
      <c r="E24" s="3" t="s">
        <v>77</v>
      </c>
      <c r="F24" s="3" t="s">
        <v>78</v>
      </c>
      <c r="G24" s="2" t="s">
        <v>28</v>
      </c>
      <c r="H24" s="4" t="n">
        <v>556</v>
      </c>
      <c r="I24" s="5" t="n">
        <v>2</v>
      </c>
      <c r="J24" s="2" t="s">
        <v>29</v>
      </c>
      <c r="K24" s="6" t="n">
        <v>0.32</v>
      </c>
      <c r="L24" s="4" t="n">
        <v>378.08</v>
      </c>
      <c r="M24" s="4" t="n">
        <v>640.81</v>
      </c>
      <c r="N24" s="6" t="n">
        <v>0.09</v>
      </c>
      <c r="O24" s="4" t="n">
        <v>57.67</v>
      </c>
      <c r="P24" s="6" t="n">
        <v>0.09</v>
      </c>
      <c r="Q24" s="4" t="n">
        <v>57.67</v>
      </c>
      <c r="R24" s="7" t="n">
        <f aca="false">M24+O24+P24</f>
        <v>698.57</v>
      </c>
      <c r="S24" s="7" t="n">
        <f aca="false">H24*I24</f>
        <v>1112</v>
      </c>
      <c r="T24" s="7" t="n">
        <f aca="false">IF(K24="","",ROUND(H24*(1-K24),2))</f>
        <v>378.08</v>
      </c>
      <c r="U24" s="7" t="n">
        <f aca="false">ROUND(L24*I24/1.18,2)</f>
        <v>640.81</v>
      </c>
      <c r="V24" s="7" t="n">
        <f aca="false">ROUND(M24-U24,2)</f>
        <v>0</v>
      </c>
      <c r="W24" s="8" t="str">
        <f aca="false">IF(ABS(V24)&gt;0.011,"CHECK","OK")</f>
        <v>OK</v>
      </c>
    </row>
    <row r="25" customFormat="false" ht="15" hidden="false" customHeight="false" outlineLevel="0" collapsed="false">
      <c r="A25" s="2" t="s">
        <v>23</v>
      </c>
      <c r="B25" s="2" t="s">
        <v>24</v>
      </c>
      <c r="C25" s="3" t="s">
        <v>52</v>
      </c>
      <c r="D25" s="2" t="n">
        <v>24</v>
      </c>
      <c r="E25" s="3" t="s">
        <v>79</v>
      </c>
      <c r="F25" s="3" t="s">
        <v>80</v>
      </c>
      <c r="G25" s="2" t="s">
        <v>28</v>
      </c>
      <c r="H25" s="4" t="n">
        <v>570</v>
      </c>
      <c r="I25" s="5" t="n">
        <v>2</v>
      </c>
      <c r="J25" s="2" t="s">
        <v>29</v>
      </c>
      <c r="K25" s="6" t="n">
        <v>0.32</v>
      </c>
      <c r="L25" s="4" t="n">
        <v>387.6</v>
      </c>
      <c r="M25" s="4" t="n">
        <v>656.95</v>
      </c>
      <c r="N25" s="6" t="n">
        <v>0.09</v>
      </c>
      <c r="O25" s="4" t="n">
        <v>59.12</v>
      </c>
      <c r="P25" s="6" t="n">
        <v>0.09</v>
      </c>
      <c r="Q25" s="4" t="n">
        <v>59.12</v>
      </c>
      <c r="R25" s="7" t="n">
        <f aca="false">M25+O25+P25</f>
        <v>716.16</v>
      </c>
      <c r="S25" s="7" t="n">
        <f aca="false">H25*I25</f>
        <v>1140</v>
      </c>
      <c r="T25" s="7" t="n">
        <f aca="false">IF(K25="","",ROUND(H25*(1-K25),2))</f>
        <v>387.6</v>
      </c>
      <c r="U25" s="7" t="n">
        <f aca="false">ROUND(L25*I25/1.18,2)</f>
        <v>656.95</v>
      </c>
      <c r="V25" s="7" t="n">
        <f aca="false">ROUND(M25-U25,2)</f>
        <v>0</v>
      </c>
      <c r="W25" s="8" t="str">
        <f aca="false">IF(ABS(V25)&gt;0.011,"CHECK","OK")</f>
        <v>OK</v>
      </c>
    </row>
    <row r="26" customFormat="false" ht="15" hidden="false" customHeight="false" outlineLevel="0" collapsed="false">
      <c r="A26" s="2" t="s">
        <v>23</v>
      </c>
      <c r="B26" s="2" t="s">
        <v>24</v>
      </c>
      <c r="C26" s="3" t="s">
        <v>52</v>
      </c>
      <c r="D26" s="2" t="n">
        <v>25</v>
      </c>
      <c r="E26" s="3" t="s">
        <v>81</v>
      </c>
      <c r="F26" s="3" t="s">
        <v>82</v>
      </c>
      <c r="G26" s="2" t="s">
        <v>28</v>
      </c>
      <c r="H26" s="4" t="n">
        <v>463</v>
      </c>
      <c r="I26" s="5" t="n">
        <v>2</v>
      </c>
      <c r="J26" s="2" t="s">
        <v>40</v>
      </c>
      <c r="K26" s="6" t="n">
        <v>0.32</v>
      </c>
      <c r="L26" s="4" t="n">
        <v>314.84</v>
      </c>
      <c r="M26" s="4" t="n">
        <v>533.63</v>
      </c>
      <c r="N26" s="6" t="n">
        <v>0.09</v>
      </c>
      <c r="O26" s="4" t="n">
        <v>48.02</v>
      </c>
      <c r="P26" s="6" t="n">
        <v>0.09</v>
      </c>
      <c r="Q26" s="4" t="n">
        <v>48.02</v>
      </c>
      <c r="R26" s="7" t="n">
        <f aca="false">M26+O26+P26</f>
        <v>581.74</v>
      </c>
      <c r="S26" s="7" t="n">
        <f aca="false">H26*I26</f>
        <v>926</v>
      </c>
      <c r="T26" s="7" t="n">
        <f aca="false">IF(K26="","",ROUND(H26*(1-K26),2))</f>
        <v>314.84</v>
      </c>
      <c r="U26" s="7" t="n">
        <f aca="false">ROUND(L26*I26/1.18,2)</f>
        <v>533.63</v>
      </c>
      <c r="V26" s="7" t="n">
        <f aca="false">ROUND(M26-U26,2)</f>
        <v>0</v>
      </c>
      <c r="W26" s="8" t="str">
        <f aca="false">IF(ABS(V26)&gt;0.011,"CHECK","OK")</f>
        <v>OK</v>
      </c>
    </row>
    <row r="27" customFormat="false" ht="15" hidden="false" customHeight="false" outlineLevel="0" collapsed="false">
      <c r="A27" s="2" t="s">
        <v>23</v>
      </c>
      <c r="B27" s="2" t="s">
        <v>24</v>
      </c>
      <c r="C27" s="3" t="s">
        <v>52</v>
      </c>
      <c r="D27" s="2" t="n">
        <v>26</v>
      </c>
      <c r="E27" s="3" t="s">
        <v>83</v>
      </c>
      <c r="F27" s="3" t="s">
        <v>84</v>
      </c>
      <c r="G27" s="2" t="s">
        <v>28</v>
      </c>
      <c r="H27" s="4" t="n">
        <v>1011</v>
      </c>
      <c r="I27" s="5" t="n">
        <v>2</v>
      </c>
      <c r="J27" s="2" t="s">
        <v>29</v>
      </c>
      <c r="K27" s="6" t="n">
        <v>0.32</v>
      </c>
      <c r="L27" s="4" t="n">
        <v>687.48</v>
      </c>
      <c r="M27" s="4" t="n">
        <v>1165.22</v>
      </c>
      <c r="N27" s="6" t="n">
        <v>0.09</v>
      </c>
      <c r="O27" s="4" t="n">
        <v>104.87</v>
      </c>
      <c r="P27" s="6" t="n">
        <v>0.09</v>
      </c>
      <c r="Q27" s="4" t="n">
        <v>104.87</v>
      </c>
      <c r="R27" s="7" t="n">
        <f aca="false">M27+O27+P27</f>
        <v>1270.18</v>
      </c>
      <c r="S27" s="7" t="n">
        <f aca="false">H27*I27</f>
        <v>2022</v>
      </c>
      <c r="T27" s="7" t="n">
        <f aca="false">IF(K27="","",ROUND(H27*(1-K27),2))</f>
        <v>687.48</v>
      </c>
      <c r="U27" s="7" t="n">
        <f aca="false">ROUND(L27*I27/1.18,2)</f>
        <v>1165.22</v>
      </c>
      <c r="V27" s="7" t="n">
        <f aca="false">ROUND(M27-U27,2)</f>
        <v>0</v>
      </c>
      <c r="W27" s="8" t="str">
        <f aca="false">IF(ABS(V27)&gt;0.011,"CHECK","OK")</f>
        <v>OK</v>
      </c>
    </row>
    <row r="28" customFormat="false" ht="15" hidden="false" customHeight="false" outlineLevel="0" collapsed="false">
      <c r="A28" s="2" t="s">
        <v>23</v>
      </c>
      <c r="B28" s="2" t="s">
        <v>24</v>
      </c>
      <c r="C28" s="3" t="s">
        <v>52</v>
      </c>
      <c r="D28" s="2" t="n">
        <v>27</v>
      </c>
      <c r="E28" s="3" t="s">
        <v>85</v>
      </c>
      <c r="F28" s="3" t="s">
        <v>86</v>
      </c>
      <c r="G28" s="2" t="s">
        <v>28</v>
      </c>
      <c r="H28" s="4" t="n">
        <v>577</v>
      </c>
      <c r="I28" s="5" t="n">
        <v>2</v>
      </c>
      <c r="J28" s="2"/>
      <c r="K28" s="6" t="n">
        <v>0.32</v>
      </c>
      <c r="L28" s="4" t="n">
        <v>392.36</v>
      </c>
      <c r="M28" s="4" t="n">
        <v>665.02</v>
      </c>
      <c r="N28" s="6" t="n">
        <v>0.09</v>
      </c>
      <c r="O28" s="4" t="n">
        <v>59.85</v>
      </c>
      <c r="P28" s="6" t="n">
        <v>0.09</v>
      </c>
      <c r="Q28" s="4" t="n">
        <v>59.85</v>
      </c>
      <c r="R28" s="7" t="n">
        <f aca="false">M28+O28+P28</f>
        <v>724.96</v>
      </c>
      <c r="S28" s="7" t="n">
        <f aca="false">H28*I28</f>
        <v>1154</v>
      </c>
      <c r="T28" s="7" t="n">
        <f aca="false">IF(K28="","",ROUND(H28*(1-K28),2))</f>
        <v>392.36</v>
      </c>
      <c r="U28" s="7" t="n">
        <f aca="false">ROUND(L28*I28/1.18,2)</f>
        <v>665.02</v>
      </c>
      <c r="V28" s="7" t="n">
        <f aca="false">ROUND(M28-U28,2)</f>
        <v>0</v>
      </c>
      <c r="W28" s="8" t="str">
        <f aca="false">IF(ABS(V28)&gt;0.011,"CHECK","OK")</f>
        <v>OK</v>
      </c>
    </row>
    <row r="29" customFormat="false" ht="15" hidden="false" customHeight="false" outlineLevel="0" collapsed="false">
      <c r="A29" s="2" t="s">
        <v>23</v>
      </c>
      <c r="B29" s="2" t="s">
        <v>24</v>
      </c>
      <c r="C29" s="3" t="s">
        <v>52</v>
      </c>
      <c r="D29" s="2" t="n">
        <v>28</v>
      </c>
      <c r="E29" s="3" t="s">
        <v>87</v>
      </c>
      <c r="F29" s="3" t="s">
        <v>88</v>
      </c>
      <c r="G29" s="2" t="s">
        <v>28</v>
      </c>
      <c r="H29" s="4" t="n">
        <v>800</v>
      </c>
      <c r="I29" s="5" t="n">
        <v>2</v>
      </c>
      <c r="J29" s="2" t="s">
        <v>29</v>
      </c>
      <c r="K29" s="6" t="n">
        <v>0.32</v>
      </c>
      <c r="L29" s="4" t="n">
        <v>544</v>
      </c>
      <c r="M29" s="4" t="n">
        <v>922.03</v>
      </c>
      <c r="N29" s="6" t="n">
        <v>0.09</v>
      </c>
      <c r="O29" s="4" t="n">
        <v>82.98</v>
      </c>
      <c r="P29" s="6" t="n">
        <v>0.09</v>
      </c>
      <c r="Q29" s="4" t="n">
        <v>82.98</v>
      </c>
      <c r="R29" s="7" t="n">
        <f aca="false">M29+O29+P29</f>
        <v>1005.1</v>
      </c>
      <c r="S29" s="7" t="n">
        <f aca="false">H29*I29</f>
        <v>1600</v>
      </c>
      <c r="T29" s="7" t="n">
        <f aca="false">IF(K29="","",ROUND(H29*(1-K29),2))</f>
        <v>544</v>
      </c>
      <c r="U29" s="7" t="n">
        <f aca="false">ROUND(L29*I29/1.18,2)</f>
        <v>922.03</v>
      </c>
      <c r="V29" s="7" t="n">
        <f aca="false">ROUND(M29-U29,2)</f>
        <v>0</v>
      </c>
      <c r="W29" s="8" t="str">
        <f aca="false">IF(ABS(V29)&gt;0.011,"CHECK","OK")</f>
        <v>OK</v>
      </c>
    </row>
    <row r="30" customFormat="false" ht="15" hidden="false" customHeight="false" outlineLevel="0" collapsed="false">
      <c r="A30" s="2" t="s">
        <v>23</v>
      </c>
      <c r="B30" s="2" t="s">
        <v>24</v>
      </c>
      <c r="C30" s="3" t="s">
        <v>52</v>
      </c>
      <c r="D30" s="2" t="n">
        <v>29</v>
      </c>
      <c r="E30" s="3" t="s">
        <v>89</v>
      </c>
      <c r="F30" s="3" t="s">
        <v>90</v>
      </c>
      <c r="G30" s="2" t="s">
        <v>28</v>
      </c>
      <c r="H30" s="4" t="n">
        <v>608</v>
      </c>
      <c r="I30" s="5" t="n">
        <v>2</v>
      </c>
      <c r="J30" s="2" t="s">
        <v>40</v>
      </c>
      <c r="K30" s="6" t="n">
        <v>0.32</v>
      </c>
      <c r="L30" s="4" t="n">
        <v>413.44</v>
      </c>
      <c r="M30" s="4" t="n">
        <v>700.75</v>
      </c>
      <c r="N30" s="6" t="n">
        <v>0.09</v>
      </c>
      <c r="O30" s="4" t="n">
        <v>63.06</v>
      </c>
      <c r="P30" s="6" t="n">
        <v>0.09</v>
      </c>
      <c r="Q30" s="4" t="n">
        <v>63.06</v>
      </c>
      <c r="R30" s="7" t="n">
        <f aca="false">M30+O30+P30</f>
        <v>763.9</v>
      </c>
      <c r="S30" s="7" t="n">
        <f aca="false">H30*I30</f>
        <v>1216</v>
      </c>
      <c r="T30" s="7" t="n">
        <f aca="false">IF(K30="","",ROUND(H30*(1-K30),2))</f>
        <v>413.44</v>
      </c>
      <c r="U30" s="7" t="n">
        <f aca="false">ROUND(L30*I30/1.18,2)</f>
        <v>700.75</v>
      </c>
      <c r="V30" s="7" t="n">
        <f aca="false">ROUND(M30-U30,2)</f>
        <v>0</v>
      </c>
      <c r="W30" s="8" t="str">
        <f aca="false">IF(ABS(V30)&gt;0.011,"CHECK","OK")</f>
        <v>OK</v>
      </c>
    </row>
    <row r="31" customFormat="false" ht="15" hidden="false" customHeight="false" outlineLevel="0" collapsed="false">
      <c r="A31" s="2" t="s">
        <v>23</v>
      </c>
      <c r="B31" s="2" t="s">
        <v>24</v>
      </c>
      <c r="C31" s="3" t="s">
        <v>91</v>
      </c>
      <c r="D31" s="2" t="n">
        <v>30</v>
      </c>
      <c r="E31" s="3" t="s">
        <v>92</v>
      </c>
      <c r="F31" s="3" t="s">
        <v>93</v>
      </c>
      <c r="G31" s="2" t="s">
        <v>94</v>
      </c>
      <c r="H31" s="4" t="n">
        <v>98</v>
      </c>
      <c r="I31" s="5" t="n">
        <v>10</v>
      </c>
      <c r="J31" s="2" t="s">
        <v>29</v>
      </c>
      <c r="K31" s="6"/>
      <c r="L31" s="4" t="n">
        <v>98</v>
      </c>
      <c r="M31" s="4" t="n">
        <v>830.51</v>
      </c>
      <c r="N31" s="6" t="n">
        <v>0.09</v>
      </c>
      <c r="O31" s="4" t="n">
        <v>74.74</v>
      </c>
      <c r="P31" s="6" t="n">
        <v>0.09</v>
      </c>
      <c r="Q31" s="4" t="n">
        <v>74.74</v>
      </c>
      <c r="R31" s="7" t="n">
        <f aca="false">M31+O31+P31</f>
        <v>905.34</v>
      </c>
      <c r="S31" s="7" t="n">
        <f aca="false">H31*I31</f>
        <v>980</v>
      </c>
      <c r="T31" s="7" t="str">
        <f aca="false">IF(K31="","",ROUND(H31*(1-K31),2))</f>
        <v/>
      </c>
      <c r="U31" s="7" t="n">
        <f aca="false">ROUND(L31*I31/1.18,2)</f>
        <v>830.51</v>
      </c>
      <c r="V31" s="7" t="n">
        <f aca="false">ROUND(M31-U31,2)</f>
        <v>0</v>
      </c>
      <c r="W31" s="8" t="str">
        <f aca="false">IF(ABS(V31)&gt;0.011,"CHECK","OK")</f>
        <v>OK</v>
      </c>
    </row>
    <row r="32" customFormat="false" ht="15" hidden="false" customHeight="false" outlineLevel="0" collapsed="false">
      <c r="A32" s="2" t="s">
        <v>95</v>
      </c>
      <c r="B32" s="2" t="s">
        <v>24</v>
      </c>
      <c r="C32" s="3" t="s">
        <v>96</v>
      </c>
      <c r="D32" s="2" t="n">
        <v>1</v>
      </c>
      <c r="E32" s="3" t="s">
        <v>97</v>
      </c>
      <c r="F32" s="3" t="s">
        <v>98</v>
      </c>
      <c r="G32" s="2" t="s">
        <v>45</v>
      </c>
      <c r="H32" s="4" t="n">
        <v>490</v>
      </c>
      <c r="I32" s="5" t="n">
        <v>2</v>
      </c>
      <c r="J32" s="2" t="s">
        <v>29</v>
      </c>
      <c r="K32" s="6" t="n">
        <v>0.38</v>
      </c>
      <c r="L32" s="4" t="n">
        <v>303.8</v>
      </c>
      <c r="M32" s="4" t="n">
        <v>514.92</v>
      </c>
      <c r="N32" s="6" t="n">
        <v>0.09</v>
      </c>
      <c r="O32" s="4" t="n">
        <v>46.34</v>
      </c>
      <c r="P32" s="6" t="n">
        <v>0.09</v>
      </c>
      <c r="Q32" s="4" t="n">
        <v>46.34</v>
      </c>
      <c r="R32" s="7" t="n">
        <f aca="false">M32+O32+P32</f>
        <v>561.35</v>
      </c>
      <c r="S32" s="7" t="n">
        <f aca="false">H32*I32</f>
        <v>980</v>
      </c>
      <c r="T32" s="7" t="n">
        <f aca="false">IF(K32="","",ROUND(H32*(1-K32),2))</f>
        <v>303.8</v>
      </c>
      <c r="U32" s="7" t="n">
        <f aca="false">ROUND(L32*I32/1.18,2)</f>
        <v>514.92</v>
      </c>
      <c r="V32" s="7" t="n">
        <f aca="false">ROUND(M32-U32,2)</f>
        <v>0</v>
      </c>
      <c r="W32" s="8" t="str">
        <f aca="false">IF(ABS(V32)&gt;0.011,"CHECK","OK")</f>
        <v>OK</v>
      </c>
    </row>
    <row r="33" customFormat="false" ht="15" hidden="false" customHeight="false" outlineLevel="0" collapsed="false">
      <c r="A33" s="2" t="s">
        <v>95</v>
      </c>
      <c r="B33" s="2" t="s">
        <v>24</v>
      </c>
      <c r="C33" s="3" t="s">
        <v>96</v>
      </c>
      <c r="D33" s="2" t="n">
        <v>2</v>
      </c>
      <c r="E33" s="3" t="s">
        <v>99</v>
      </c>
      <c r="F33" s="3" t="s">
        <v>100</v>
      </c>
      <c r="G33" s="2" t="s">
        <v>45</v>
      </c>
      <c r="H33" s="4" t="n">
        <v>550</v>
      </c>
      <c r="I33" s="5" t="n">
        <v>2</v>
      </c>
      <c r="J33" s="2" t="s">
        <v>40</v>
      </c>
      <c r="K33" s="6" t="n">
        <v>0.38</v>
      </c>
      <c r="L33" s="4" t="n">
        <v>341</v>
      </c>
      <c r="M33" s="4" t="n">
        <v>577.97</v>
      </c>
      <c r="N33" s="6" t="n">
        <v>0.09</v>
      </c>
      <c r="O33" s="4" t="n">
        <v>52.01</v>
      </c>
      <c r="P33" s="6" t="n">
        <v>0.09</v>
      </c>
      <c r="Q33" s="4" t="n">
        <v>52.01</v>
      </c>
      <c r="R33" s="7" t="n">
        <f aca="false">M33+O33+P33</f>
        <v>630.07</v>
      </c>
      <c r="S33" s="7" t="n">
        <f aca="false">H33*I33</f>
        <v>1100</v>
      </c>
      <c r="T33" s="7" t="n">
        <f aca="false">IF(K33="","",ROUND(H33*(1-K33),2))</f>
        <v>341</v>
      </c>
      <c r="U33" s="7" t="n">
        <f aca="false">ROUND(L33*I33/1.18,2)</f>
        <v>577.97</v>
      </c>
      <c r="V33" s="7" t="n">
        <f aca="false">ROUND(M33-U33,2)</f>
        <v>0</v>
      </c>
      <c r="W33" s="8" t="str">
        <f aca="false">IF(ABS(V33)&gt;0.011,"CHECK","OK")</f>
        <v>OK</v>
      </c>
    </row>
    <row r="34" customFormat="false" ht="15" hidden="false" customHeight="false" outlineLevel="0" collapsed="false">
      <c r="A34" s="2" t="s">
        <v>95</v>
      </c>
      <c r="B34" s="2" t="s">
        <v>24</v>
      </c>
      <c r="C34" s="3" t="s">
        <v>96</v>
      </c>
      <c r="D34" s="2" t="n">
        <v>3</v>
      </c>
      <c r="E34" s="3" t="s">
        <v>101</v>
      </c>
      <c r="F34" s="3" t="s">
        <v>102</v>
      </c>
      <c r="G34" s="2" t="s">
        <v>45</v>
      </c>
      <c r="H34" s="4" t="n">
        <v>475</v>
      </c>
      <c r="I34" s="5" t="n">
        <v>4</v>
      </c>
      <c r="J34" s="2" t="s">
        <v>29</v>
      </c>
      <c r="K34" s="6" t="n">
        <v>0.38</v>
      </c>
      <c r="L34" s="4" t="n">
        <v>294.5</v>
      </c>
      <c r="M34" s="4" t="n">
        <v>998.31</v>
      </c>
      <c r="N34" s="6" t="n">
        <v>0.09</v>
      </c>
      <c r="O34" s="4" t="n">
        <v>89.84</v>
      </c>
      <c r="P34" s="6" t="n">
        <v>0.09</v>
      </c>
      <c r="Q34" s="4" t="n">
        <v>89.84</v>
      </c>
      <c r="R34" s="7" t="n">
        <f aca="false">M34+O34+P34</f>
        <v>1088.24</v>
      </c>
      <c r="S34" s="7" t="n">
        <f aca="false">H34*I34</f>
        <v>1900</v>
      </c>
      <c r="T34" s="7" t="n">
        <f aca="false">IF(K34="","",ROUND(H34*(1-K34),2))</f>
        <v>294.5</v>
      </c>
      <c r="U34" s="7" t="n">
        <f aca="false">ROUND(L34*I34/1.18,2)</f>
        <v>998.31</v>
      </c>
      <c r="V34" s="7" t="n">
        <f aca="false">ROUND(M34-U34,2)</f>
        <v>0</v>
      </c>
      <c r="W34" s="8" t="str">
        <f aca="false">IF(ABS(V34)&gt;0.011,"CHECK","OK")</f>
        <v>OK</v>
      </c>
    </row>
    <row r="35" customFormat="false" ht="15" hidden="false" customHeight="false" outlineLevel="0" collapsed="false">
      <c r="A35" s="2" t="s">
        <v>95</v>
      </c>
      <c r="B35" s="2" t="s">
        <v>24</v>
      </c>
      <c r="C35" s="3" t="s">
        <v>96</v>
      </c>
      <c r="D35" s="2" t="n">
        <v>4</v>
      </c>
      <c r="E35" s="3" t="s">
        <v>103</v>
      </c>
      <c r="F35" s="3" t="s">
        <v>104</v>
      </c>
      <c r="G35" s="2" t="s">
        <v>45</v>
      </c>
      <c r="H35" s="4" t="n">
        <v>460</v>
      </c>
      <c r="I35" s="5" t="n">
        <v>2</v>
      </c>
      <c r="J35" s="2" t="s">
        <v>40</v>
      </c>
      <c r="K35" s="6" t="n">
        <v>0.38</v>
      </c>
      <c r="L35" s="4" t="n">
        <v>285.2</v>
      </c>
      <c r="M35" s="4" t="n">
        <v>483.39</v>
      </c>
      <c r="N35" s="6" t="n">
        <v>0.09</v>
      </c>
      <c r="O35" s="4" t="n">
        <v>43.5</v>
      </c>
      <c r="P35" s="6" t="n">
        <v>0.09</v>
      </c>
      <c r="Q35" s="4" t="n">
        <v>43.5</v>
      </c>
      <c r="R35" s="7" t="n">
        <f aca="false">M35+O35+P35</f>
        <v>526.98</v>
      </c>
      <c r="S35" s="7" t="n">
        <f aca="false">H35*I35</f>
        <v>920</v>
      </c>
      <c r="T35" s="7" t="n">
        <f aca="false">IF(K35="","",ROUND(H35*(1-K35),2))</f>
        <v>285.2</v>
      </c>
      <c r="U35" s="7" t="n">
        <f aca="false">ROUND(L35*I35/1.18,2)</f>
        <v>483.39</v>
      </c>
      <c r="V35" s="7" t="n">
        <f aca="false">ROUND(M35-U35,2)</f>
        <v>0</v>
      </c>
      <c r="W35" s="8" t="str">
        <f aca="false">IF(ABS(V35)&gt;0.011,"CHECK","OK")</f>
        <v>OK</v>
      </c>
    </row>
    <row r="36" customFormat="false" ht="15" hidden="false" customHeight="false" outlineLevel="0" collapsed="false">
      <c r="A36" s="2" t="s">
        <v>95</v>
      </c>
      <c r="B36" s="2" t="s">
        <v>24</v>
      </c>
      <c r="C36" s="3" t="s">
        <v>96</v>
      </c>
      <c r="D36" s="2" t="n">
        <v>5</v>
      </c>
      <c r="E36" s="3" t="s">
        <v>105</v>
      </c>
      <c r="F36" s="3" t="s">
        <v>106</v>
      </c>
      <c r="G36" s="2" t="s">
        <v>45</v>
      </c>
      <c r="H36" s="4" t="n">
        <v>460</v>
      </c>
      <c r="I36" s="5" t="n">
        <v>2</v>
      </c>
      <c r="J36" s="2" t="s">
        <v>40</v>
      </c>
      <c r="K36" s="6" t="n">
        <v>0.38</v>
      </c>
      <c r="L36" s="4" t="n">
        <v>285.2</v>
      </c>
      <c r="M36" s="4" t="n">
        <v>483.39</v>
      </c>
      <c r="N36" s="6" t="n">
        <v>0.09</v>
      </c>
      <c r="O36" s="4" t="n">
        <v>43.5</v>
      </c>
      <c r="P36" s="6" t="n">
        <v>0.09</v>
      </c>
      <c r="Q36" s="4" t="n">
        <v>43.5</v>
      </c>
      <c r="R36" s="7" t="n">
        <f aca="false">M36+O36+P36</f>
        <v>526.98</v>
      </c>
      <c r="S36" s="7" t="n">
        <f aca="false">H36*I36</f>
        <v>920</v>
      </c>
      <c r="T36" s="7" t="n">
        <f aca="false">IF(K36="","",ROUND(H36*(1-K36),2))</f>
        <v>285.2</v>
      </c>
      <c r="U36" s="7" t="n">
        <f aca="false">ROUND(L36*I36/1.18,2)</f>
        <v>483.39</v>
      </c>
      <c r="V36" s="7" t="n">
        <f aca="false">ROUND(M36-U36,2)</f>
        <v>0</v>
      </c>
      <c r="W36" s="8" t="str">
        <f aca="false">IF(ABS(V36)&gt;0.011,"CHECK","OK")</f>
        <v>OK</v>
      </c>
    </row>
    <row r="37" customFormat="false" ht="15" hidden="false" customHeight="false" outlineLevel="0" collapsed="false">
      <c r="A37" s="2" t="s">
        <v>95</v>
      </c>
      <c r="B37" s="2" t="s">
        <v>24</v>
      </c>
      <c r="C37" s="3" t="s">
        <v>96</v>
      </c>
      <c r="D37" s="2" t="n">
        <v>6</v>
      </c>
      <c r="E37" s="3" t="s">
        <v>107</v>
      </c>
      <c r="F37" s="3" t="s">
        <v>108</v>
      </c>
      <c r="G37" s="2" t="s">
        <v>45</v>
      </c>
      <c r="H37" s="4" t="n">
        <v>535</v>
      </c>
      <c r="I37" s="5" t="n">
        <v>2</v>
      </c>
      <c r="J37" s="2" t="s">
        <v>40</v>
      </c>
      <c r="K37" s="6" t="n">
        <v>0.38</v>
      </c>
      <c r="L37" s="4" t="n">
        <v>331.7</v>
      </c>
      <c r="M37" s="4" t="n">
        <v>562.2</v>
      </c>
      <c r="N37" s="6" t="n">
        <v>0.09</v>
      </c>
      <c r="O37" s="4" t="n">
        <v>50.6</v>
      </c>
      <c r="P37" s="6" t="n">
        <v>0.09</v>
      </c>
      <c r="Q37" s="4" t="n">
        <v>50.6</v>
      </c>
      <c r="R37" s="7" t="n">
        <f aca="false">M37+O37+P37</f>
        <v>612.89</v>
      </c>
      <c r="S37" s="7" t="n">
        <f aca="false">H37*I37</f>
        <v>1070</v>
      </c>
      <c r="T37" s="7" t="n">
        <f aca="false">IF(K37="","",ROUND(H37*(1-K37),2))</f>
        <v>331.7</v>
      </c>
      <c r="U37" s="7" t="n">
        <f aca="false">ROUND(L37*I37/1.18,2)</f>
        <v>562.2</v>
      </c>
      <c r="V37" s="7" t="n">
        <f aca="false">ROUND(M37-U37,2)</f>
        <v>0</v>
      </c>
      <c r="W37" s="8" t="str">
        <f aca="false">IF(ABS(V37)&gt;0.011,"CHECK","OK")</f>
        <v>OK</v>
      </c>
    </row>
    <row r="38" customFormat="false" ht="15" hidden="false" customHeight="false" outlineLevel="0" collapsed="false">
      <c r="A38" s="2" t="s">
        <v>95</v>
      </c>
      <c r="B38" s="2" t="s">
        <v>24</v>
      </c>
      <c r="C38" s="3" t="s">
        <v>96</v>
      </c>
      <c r="D38" s="2" t="n">
        <v>7</v>
      </c>
      <c r="E38" s="3" t="s">
        <v>109</v>
      </c>
      <c r="F38" s="3" t="s">
        <v>110</v>
      </c>
      <c r="G38" s="2" t="s">
        <v>45</v>
      </c>
      <c r="H38" s="4" t="n">
        <v>535</v>
      </c>
      <c r="I38" s="5" t="n">
        <v>2</v>
      </c>
      <c r="J38" s="2" t="s">
        <v>40</v>
      </c>
      <c r="K38" s="6" t="n">
        <v>0.38</v>
      </c>
      <c r="L38" s="4" t="n">
        <v>331.7</v>
      </c>
      <c r="M38" s="4" t="n">
        <v>562.2</v>
      </c>
      <c r="N38" s="6" t="n">
        <v>0.09</v>
      </c>
      <c r="O38" s="4" t="n">
        <v>50.6</v>
      </c>
      <c r="P38" s="6" t="n">
        <v>0.09</v>
      </c>
      <c r="Q38" s="4" t="n">
        <v>50.6</v>
      </c>
      <c r="R38" s="7" t="n">
        <f aca="false">M38+O38+P38</f>
        <v>612.89</v>
      </c>
      <c r="S38" s="7" t="n">
        <f aca="false">H38*I38</f>
        <v>1070</v>
      </c>
      <c r="T38" s="7" t="n">
        <f aca="false">IF(K38="","",ROUND(H38*(1-K38),2))</f>
        <v>331.7</v>
      </c>
      <c r="U38" s="7" t="n">
        <f aca="false">ROUND(L38*I38/1.18,2)</f>
        <v>562.2</v>
      </c>
      <c r="V38" s="7" t="n">
        <f aca="false">ROUND(M38-U38,2)</f>
        <v>0</v>
      </c>
      <c r="W38" s="8" t="str">
        <f aca="false">IF(ABS(V38)&gt;0.011,"CHECK","OK")</f>
        <v>OK</v>
      </c>
    </row>
    <row r="39" customFormat="false" ht="15" hidden="false" customHeight="false" outlineLevel="0" collapsed="false">
      <c r="A39" s="2" t="s">
        <v>95</v>
      </c>
      <c r="B39" s="2" t="s">
        <v>24</v>
      </c>
      <c r="C39" s="3" t="s">
        <v>96</v>
      </c>
      <c r="D39" s="2" t="n">
        <v>8</v>
      </c>
      <c r="E39" s="3" t="s">
        <v>111</v>
      </c>
      <c r="F39" s="3" t="s">
        <v>112</v>
      </c>
      <c r="G39" s="2" t="s">
        <v>45</v>
      </c>
      <c r="H39" s="4" t="n">
        <v>565</v>
      </c>
      <c r="I39" s="5" t="n">
        <v>2</v>
      </c>
      <c r="J39" s="2" t="s">
        <v>29</v>
      </c>
      <c r="K39" s="6" t="n">
        <v>0.38</v>
      </c>
      <c r="L39" s="4" t="n">
        <v>350.3</v>
      </c>
      <c r="M39" s="4" t="n">
        <v>593.73</v>
      </c>
      <c r="N39" s="6" t="n">
        <v>0.09</v>
      </c>
      <c r="O39" s="4" t="n">
        <v>53.43</v>
      </c>
      <c r="P39" s="6" t="n">
        <v>0.09</v>
      </c>
      <c r="Q39" s="4" t="n">
        <v>53.43</v>
      </c>
      <c r="R39" s="7" t="n">
        <f aca="false">M39+O39+P39</f>
        <v>647.25</v>
      </c>
      <c r="S39" s="7" t="n">
        <f aca="false">H39*I39</f>
        <v>1130</v>
      </c>
      <c r="T39" s="7" t="n">
        <f aca="false">IF(K39="","",ROUND(H39*(1-K39),2))</f>
        <v>350.3</v>
      </c>
      <c r="U39" s="7" t="n">
        <f aca="false">ROUND(L39*I39/1.18,2)</f>
        <v>593.73</v>
      </c>
      <c r="V39" s="7" t="n">
        <f aca="false">ROUND(M39-U39,2)</f>
        <v>0</v>
      </c>
      <c r="W39" s="8" t="str">
        <f aca="false">IF(ABS(V39)&gt;0.011,"CHECK","OK")</f>
        <v>OK</v>
      </c>
    </row>
    <row r="40" customFormat="false" ht="15" hidden="false" customHeight="false" outlineLevel="0" collapsed="false">
      <c r="A40" s="2" t="s">
        <v>95</v>
      </c>
      <c r="B40" s="2" t="s">
        <v>24</v>
      </c>
      <c r="C40" s="3" t="s">
        <v>96</v>
      </c>
      <c r="D40" s="2" t="n">
        <v>9</v>
      </c>
      <c r="E40" s="3" t="s">
        <v>113</v>
      </c>
      <c r="F40" s="3" t="s">
        <v>114</v>
      </c>
      <c r="G40" s="2" t="s">
        <v>45</v>
      </c>
      <c r="H40" s="4" t="n">
        <v>590</v>
      </c>
      <c r="I40" s="5" t="n">
        <v>3</v>
      </c>
      <c r="J40" s="2" t="s">
        <v>40</v>
      </c>
      <c r="K40" s="6" t="n">
        <v>0.38</v>
      </c>
      <c r="L40" s="4" t="n">
        <v>365.8</v>
      </c>
      <c r="M40" s="4" t="n">
        <v>930</v>
      </c>
      <c r="N40" s="6" t="n">
        <v>0.09</v>
      </c>
      <c r="O40" s="4" t="n">
        <v>83.7</v>
      </c>
      <c r="P40" s="6" t="n">
        <v>0.09</v>
      </c>
      <c r="Q40" s="4" t="n">
        <v>83.7</v>
      </c>
      <c r="R40" s="7" t="n">
        <f aca="false">M40+O40+P40</f>
        <v>1013.79</v>
      </c>
      <c r="S40" s="7" t="n">
        <f aca="false">H40*I40</f>
        <v>1770</v>
      </c>
      <c r="T40" s="7" t="n">
        <f aca="false">IF(K40="","",ROUND(H40*(1-K40),2))</f>
        <v>365.8</v>
      </c>
      <c r="U40" s="7" t="n">
        <f aca="false">ROUND(L40*I40/1.18,2)</f>
        <v>930</v>
      </c>
      <c r="V40" s="7" t="n">
        <f aca="false">ROUND(M40-U40,2)</f>
        <v>0</v>
      </c>
      <c r="W40" s="8" t="str">
        <f aca="false">IF(ABS(V40)&gt;0.011,"CHECK","OK")</f>
        <v>OK</v>
      </c>
    </row>
    <row r="41" customFormat="false" ht="15" hidden="false" customHeight="false" outlineLevel="0" collapsed="false">
      <c r="A41" s="2" t="s">
        <v>95</v>
      </c>
      <c r="B41" s="2" t="s">
        <v>24</v>
      </c>
      <c r="C41" s="3" t="s">
        <v>96</v>
      </c>
      <c r="D41" s="2" t="n">
        <v>10</v>
      </c>
      <c r="E41" s="3" t="s">
        <v>115</v>
      </c>
      <c r="F41" s="3" t="s">
        <v>116</v>
      </c>
      <c r="G41" s="2" t="s">
        <v>45</v>
      </c>
      <c r="H41" s="4" t="n">
        <v>740</v>
      </c>
      <c r="I41" s="5" t="n">
        <v>4</v>
      </c>
      <c r="J41" s="2" t="s">
        <v>40</v>
      </c>
      <c r="K41" s="6" t="n">
        <v>0.38</v>
      </c>
      <c r="L41" s="4" t="n">
        <v>458.8</v>
      </c>
      <c r="M41" s="4" t="n">
        <v>1555.25</v>
      </c>
      <c r="N41" s="6" t="n">
        <v>0.09</v>
      </c>
      <c r="O41" s="4" t="n">
        <v>139.97</v>
      </c>
      <c r="P41" s="6" t="n">
        <v>0.09</v>
      </c>
      <c r="Q41" s="4" t="n">
        <v>139.97</v>
      </c>
      <c r="R41" s="7" t="n">
        <f aca="false">M41+O41+P41</f>
        <v>1695.31</v>
      </c>
      <c r="S41" s="7" t="n">
        <f aca="false">H41*I41</f>
        <v>2960</v>
      </c>
      <c r="T41" s="7" t="n">
        <f aca="false">IF(K41="","",ROUND(H41*(1-K41),2))</f>
        <v>458.8</v>
      </c>
      <c r="U41" s="7" t="n">
        <f aca="false">ROUND(L41*I41/1.18,2)</f>
        <v>1555.25</v>
      </c>
      <c r="V41" s="7" t="n">
        <f aca="false">ROUND(M41-U41,2)</f>
        <v>0</v>
      </c>
      <c r="W41" s="8" t="str">
        <f aca="false">IF(ABS(V41)&gt;0.011,"CHECK","OK")</f>
        <v>OK</v>
      </c>
    </row>
    <row r="42" customFormat="false" ht="15" hidden="false" customHeight="false" outlineLevel="0" collapsed="false">
      <c r="A42" s="2" t="s">
        <v>95</v>
      </c>
      <c r="B42" s="2" t="s">
        <v>24</v>
      </c>
      <c r="C42" s="3" t="s">
        <v>96</v>
      </c>
      <c r="D42" s="2" t="n">
        <v>11</v>
      </c>
      <c r="E42" s="3" t="s">
        <v>117</v>
      </c>
      <c r="F42" s="3" t="s">
        <v>118</v>
      </c>
      <c r="G42" s="2" t="s">
        <v>45</v>
      </c>
      <c r="H42" s="4" t="n">
        <v>740</v>
      </c>
      <c r="I42" s="5" t="n">
        <v>4</v>
      </c>
      <c r="J42" s="2" t="s">
        <v>29</v>
      </c>
      <c r="K42" s="6" t="n">
        <v>0.38</v>
      </c>
      <c r="L42" s="4" t="n">
        <v>458.8</v>
      </c>
      <c r="M42" s="4" t="n">
        <v>1555.25</v>
      </c>
      <c r="N42" s="6" t="n">
        <v>0.09</v>
      </c>
      <c r="O42" s="4" t="n">
        <v>139.97</v>
      </c>
      <c r="P42" s="6" t="n">
        <v>0.09</v>
      </c>
      <c r="Q42" s="4" t="n">
        <v>139.97</v>
      </c>
      <c r="R42" s="7" t="n">
        <f aca="false">M42+O42+P42</f>
        <v>1695.31</v>
      </c>
      <c r="S42" s="7" t="n">
        <f aca="false">H42*I42</f>
        <v>2960</v>
      </c>
      <c r="T42" s="7" t="n">
        <f aca="false">IF(K42="","",ROUND(H42*(1-K42),2))</f>
        <v>458.8</v>
      </c>
      <c r="U42" s="7" t="n">
        <f aca="false">ROUND(L42*I42/1.18,2)</f>
        <v>1555.25</v>
      </c>
      <c r="V42" s="7" t="n">
        <f aca="false">ROUND(M42-U42,2)</f>
        <v>0</v>
      </c>
      <c r="W42" s="8" t="str">
        <f aca="false">IF(ABS(V42)&gt;0.011,"CHECK","OK")</f>
        <v>OK</v>
      </c>
    </row>
    <row r="43" customFormat="false" ht="15" hidden="false" customHeight="false" outlineLevel="0" collapsed="false">
      <c r="A43" s="2" t="s">
        <v>95</v>
      </c>
      <c r="B43" s="2" t="s">
        <v>24</v>
      </c>
      <c r="C43" s="3" t="s">
        <v>96</v>
      </c>
      <c r="D43" s="2" t="n">
        <v>12</v>
      </c>
      <c r="E43" s="3" t="s">
        <v>119</v>
      </c>
      <c r="F43" s="3" t="s">
        <v>120</v>
      </c>
      <c r="G43" s="2" t="s">
        <v>45</v>
      </c>
      <c r="H43" s="4" t="n">
        <v>710</v>
      </c>
      <c r="I43" s="5" t="n">
        <v>3</v>
      </c>
      <c r="J43" s="2" t="s">
        <v>40</v>
      </c>
      <c r="K43" s="6" t="n">
        <v>0.38</v>
      </c>
      <c r="L43" s="4" t="n">
        <v>440.2</v>
      </c>
      <c r="M43" s="4" t="n">
        <v>1119.15</v>
      </c>
      <c r="N43" s="6" t="n">
        <v>0.09</v>
      </c>
      <c r="O43" s="4" t="n">
        <v>100.72</v>
      </c>
      <c r="P43" s="6" t="n">
        <v>0.09</v>
      </c>
      <c r="Q43" s="4" t="n">
        <v>100.72</v>
      </c>
      <c r="R43" s="7" t="n">
        <f aca="false">M43+O43+P43</f>
        <v>1219.96</v>
      </c>
      <c r="S43" s="7" t="n">
        <f aca="false">H43*I43</f>
        <v>2130</v>
      </c>
      <c r="T43" s="7" t="n">
        <f aca="false">IF(K43="","",ROUND(H43*(1-K43),2))</f>
        <v>440.2</v>
      </c>
      <c r="U43" s="7" t="n">
        <f aca="false">ROUND(L43*I43/1.18,2)</f>
        <v>1119.15</v>
      </c>
      <c r="V43" s="7" t="n">
        <f aca="false">ROUND(M43-U43,2)</f>
        <v>0</v>
      </c>
      <c r="W43" s="8" t="str">
        <f aca="false">IF(ABS(V43)&gt;0.011,"CHECK","OK")</f>
        <v>OK</v>
      </c>
    </row>
    <row r="44" customFormat="false" ht="15" hidden="false" customHeight="false" outlineLevel="0" collapsed="false">
      <c r="A44" s="2" t="s">
        <v>95</v>
      </c>
      <c r="B44" s="2" t="s">
        <v>24</v>
      </c>
      <c r="C44" s="3" t="s">
        <v>96</v>
      </c>
      <c r="D44" s="2" t="n">
        <v>13</v>
      </c>
      <c r="E44" s="3" t="s">
        <v>121</v>
      </c>
      <c r="F44" s="3" t="s">
        <v>122</v>
      </c>
      <c r="G44" s="2" t="s">
        <v>45</v>
      </c>
      <c r="H44" s="4" t="n">
        <v>750</v>
      </c>
      <c r="I44" s="5" t="n">
        <v>2</v>
      </c>
      <c r="J44" s="2" t="s">
        <v>40</v>
      </c>
      <c r="K44" s="6" t="n">
        <v>0.38</v>
      </c>
      <c r="L44" s="4" t="n">
        <v>465</v>
      </c>
      <c r="M44" s="4" t="n">
        <v>788.14</v>
      </c>
      <c r="N44" s="6" t="n">
        <v>0.09</v>
      </c>
      <c r="O44" s="4" t="n">
        <v>70.93</v>
      </c>
      <c r="P44" s="6" t="n">
        <v>0.09</v>
      </c>
      <c r="Q44" s="4" t="n">
        <v>70.93</v>
      </c>
      <c r="R44" s="7" t="n">
        <f aca="false">M44+O44+P44</f>
        <v>859.16</v>
      </c>
      <c r="S44" s="7" t="n">
        <f aca="false">H44*I44</f>
        <v>1500</v>
      </c>
      <c r="T44" s="7" t="n">
        <f aca="false">IF(K44="","",ROUND(H44*(1-K44),2))</f>
        <v>465</v>
      </c>
      <c r="U44" s="7" t="n">
        <f aca="false">ROUND(L44*I44/1.18,2)</f>
        <v>788.14</v>
      </c>
      <c r="V44" s="7" t="n">
        <f aca="false">ROUND(M44-U44,2)</f>
        <v>0</v>
      </c>
      <c r="W44" s="8" t="str">
        <f aca="false">IF(ABS(V44)&gt;0.011,"CHECK","OK")</f>
        <v>OK</v>
      </c>
    </row>
    <row r="45" customFormat="false" ht="15" hidden="false" customHeight="false" outlineLevel="0" collapsed="false">
      <c r="A45" s="2" t="s">
        <v>95</v>
      </c>
      <c r="B45" s="2" t="s">
        <v>24</v>
      </c>
      <c r="C45" s="3" t="s">
        <v>96</v>
      </c>
      <c r="D45" s="2" t="n">
        <v>14</v>
      </c>
      <c r="E45" s="3" t="s">
        <v>123</v>
      </c>
      <c r="F45" s="3" t="s">
        <v>124</v>
      </c>
      <c r="G45" s="2" t="s">
        <v>45</v>
      </c>
      <c r="H45" s="4" t="n">
        <v>750</v>
      </c>
      <c r="I45" s="5" t="n">
        <v>2</v>
      </c>
      <c r="J45" s="2" t="s">
        <v>40</v>
      </c>
      <c r="K45" s="6" t="n">
        <v>0.38</v>
      </c>
      <c r="L45" s="4" t="n">
        <v>465</v>
      </c>
      <c r="M45" s="4" t="n">
        <v>788.14</v>
      </c>
      <c r="N45" s="6" t="n">
        <v>0.09</v>
      </c>
      <c r="O45" s="4" t="n">
        <v>70.93</v>
      </c>
      <c r="P45" s="6" t="n">
        <v>0.09</v>
      </c>
      <c r="Q45" s="4" t="n">
        <v>70.93</v>
      </c>
      <c r="R45" s="7" t="n">
        <f aca="false">M45+O45+P45</f>
        <v>859.16</v>
      </c>
      <c r="S45" s="7" t="n">
        <f aca="false">H45*I45</f>
        <v>1500</v>
      </c>
      <c r="T45" s="7" t="n">
        <f aca="false">IF(K45="","",ROUND(H45*(1-K45),2))</f>
        <v>465</v>
      </c>
      <c r="U45" s="7" t="n">
        <f aca="false">ROUND(L45*I45/1.18,2)</f>
        <v>788.14</v>
      </c>
      <c r="V45" s="7" t="n">
        <f aca="false">ROUND(M45-U45,2)</f>
        <v>0</v>
      </c>
      <c r="W45" s="8" t="str">
        <f aca="false">IF(ABS(V45)&gt;0.011,"CHECK","OK")</f>
        <v>OK</v>
      </c>
    </row>
    <row r="46" customFormat="false" ht="15" hidden="false" customHeight="false" outlineLevel="0" collapsed="false">
      <c r="A46" s="2" t="s">
        <v>95</v>
      </c>
      <c r="B46" s="2" t="s">
        <v>24</v>
      </c>
      <c r="C46" s="3" t="s">
        <v>96</v>
      </c>
      <c r="D46" s="2" t="n">
        <v>15</v>
      </c>
      <c r="E46" s="3" t="s">
        <v>125</v>
      </c>
      <c r="F46" s="3" t="s">
        <v>126</v>
      </c>
      <c r="G46" s="2" t="s">
        <v>45</v>
      </c>
      <c r="H46" s="4" t="n">
        <v>710</v>
      </c>
      <c r="I46" s="5" t="n">
        <v>2</v>
      </c>
      <c r="J46" s="2" t="s">
        <v>29</v>
      </c>
      <c r="K46" s="6" t="n">
        <v>0.38</v>
      </c>
      <c r="L46" s="4" t="n">
        <v>440.2</v>
      </c>
      <c r="M46" s="4" t="n">
        <v>746.1</v>
      </c>
      <c r="N46" s="6" t="n">
        <v>0.09</v>
      </c>
      <c r="O46" s="4" t="n">
        <v>67.15</v>
      </c>
      <c r="P46" s="6" t="n">
        <v>0.09</v>
      </c>
      <c r="Q46" s="4" t="n">
        <v>67.15</v>
      </c>
      <c r="R46" s="7" t="n">
        <f aca="false">M46+O46+P46</f>
        <v>813.34</v>
      </c>
      <c r="S46" s="7" t="n">
        <f aca="false">H46*I46</f>
        <v>1420</v>
      </c>
      <c r="T46" s="7" t="n">
        <f aca="false">IF(K46="","",ROUND(H46*(1-K46),2))</f>
        <v>440.2</v>
      </c>
      <c r="U46" s="7" t="n">
        <f aca="false">ROUND(L46*I46/1.18,2)</f>
        <v>746.1</v>
      </c>
      <c r="V46" s="7" t="n">
        <f aca="false">ROUND(M46-U46,2)</f>
        <v>0</v>
      </c>
      <c r="W46" s="8" t="str">
        <f aca="false">IF(ABS(V46)&gt;0.011,"CHECK","OK")</f>
        <v>OK</v>
      </c>
    </row>
    <row r="47" customFormat="false" ht="15" hidden="false" customHeight="false" outlineLevel="0" collapsed="false">
      <c r="A47" s="2" t="s">
        <v>95</v>
      </c>
      <c r="B47" s="2" t="s">
        <v>24</v>
      </c>
      <c r="C47" s="3" t="s">
        <v>96</v>
      </c>
      <c r="D47" s="2" t="n">
        <v>16</v>
      </c>
      <c r="E47" s="3" t="s">
        <v>127</v>
      </c>
      <c r="F47" s="3" t="s">
        <v>128</v>
      </c>
      <c r="G47" s="2" t="s">
        <v>45</v>
      </c>
      <c r="H47" s="4" t="n">
        <v>710</v>
      </c>
      <c r="I47" s="5" t="n">
        <v>2</v>
      </c>
      <c r="J47" s="2" t="s">
        <v>40</v>
      </c>
      <c r="K47" s="6" t="n">
        <v>0.38</v>
      </c>
      <c r="L47" s="4" t="n">
        <v>440.2</v>
      </c>
      <c r="M47" s="4" t="n">
        <v>746.1</v>
      </c>
      <c r="N47" s="6" t="n">
        <v>0.09</v>
      </c>
      <c r="O47" s="4" t="n">
        <v>67.15</v>
      </c>
      <c r="P47" s="6" t="n">
        <v>0.09</v>
      </c>
      <c r="Q47" s="4" t="n">
        <v>67.15</v>
      </c>
      <c r="R47" s="7" t="n">
        <f aca="false">M47+O47+P47</f>
        <v>813.34</v>
      </c>
      <c r="S47" s="7" t="n">
        <f aca="false">H47*I47</f>
        <v>1420</v>
      </c>
      <c r="T47" s="7" t="n">
        <f aca="false">IF(K47="","",ROUND(H47*(1-K47),2))</f>
        <v>440.2</v>
      </c>
      <c r="U47" s="7" t="n">
        <f aca="false">ROUND(L47*I47/1.18,2)</f>
        <v>746.1</v>
      </c>
      <c r="V47" s="7" t="n">
        <f aca="false">ROUND(M47-U47,2)</f>
        <v>0</v>
      </c>
      <c r="W47" s="8" t="str">
        <f aca="false">IF(ABS(V47)&gt;0.011,"CHECK","OK")</f>
        <v>OK</v>
      </c>
    </row>
    <row r="48" customFormat="false" ht="15" hidden="false" customHeight="false" outlineLevel="0" collapsed="false">
      <c r="A48" s="2" t="s">
        <v>95</v>
      </c>
      <c r="B48" s="2" t="s">
        <v>24</v>
      </c>
      <c r="C48" s="3" t="s">
        <v>96</v>
      </c>
      <c r="D48" s="2" t="n">
        <v>17</v>
      </c>
      <c r="E48" s="3" t="s">
        <v>129</v>
      </c>
      <c r="F48" s="3" t="s">
        <v>130</v>
      </c>
      <c r="G48" s="2" t="s">
        <v>45</v>
      </c>
      <c r="H48" s="4" t="n">
        <v>1390</v>
      </c>
      <c r="I48" s="5" t="n">
        <v>1</v>
      </c>
      <c r="J48" s="2" t="s">
        <v>29</v>
      </c>
      <c r="K48" s="6" t="n">
        <v>0.38</v>
      </c>
      <c r="L48" s="4" t="n">
        <v>861.8</v>
      </c>
      <c r="M48" s="4" t="n">
        <v>730.34</v>
      </c>
      <c r="N48" s="6" t="n">
        <v>0.09</v>
      </c>
      <c r="O48" s="4" t="n">
        <v>65.73</v>
      </c>
      <c r="P48" s="6" t="n">
        <v>0.09</v>
      </c>
      <c r="Q48" s="4" t="n">
        <v>65.73</v>
      </c>
      <c r="R48" s="7" t="n">
        <f aca="false">M48+O48+P48</f>
        <v>796.16</v>
      </c>
      <c r="S48" s="7" t="n">
        <f aca="false">H48*I48</f>
        <v>1390</v>
      </c>
      <c r="T48" s="7" t="n">
        <f aca="false">IF(K48="","",ROUND(H48*(1-K48),2))</f>
        <v>861.8</v>
      </c>
      <c r="U48" s="7" t="n">
        <f aca="false">ROUND(L48*I48/1.18,2)</f>
        <v>730.34</v>
      </c>
      <c r="V48" s="7" t="n">
        <f aca="false">ROUND(M48-U48,2)</f>
        <v>0</v>
      </c>
      <c r="W48" s="8" t="str">
        <f aca="false">IF(ABS(V48)&gt;0.011,"CHECK","OK")</f>
        <v>OK</v>
      </c>
    </row>
    <row r="49" customFormat="false" ht="15" hidden="false" customHeight="false" outlineLevel="0" collapsed="false">
      <c r="A49" s="2" t="s">
        <v>95</v>
      </c>
      <c r="B49" s="2" t="s">
        <v>24</v>
      </c>
      <c r="C49" s="3" t="s">
        <v>96</v>
      </c>
      <c r="D49" s="2" t="n">
        <v>18</v>
      </c>
      <c r="E49" s="3" t="s">
        <v>131</v>
      </c>
      <c r="F49" s="3" t="s">
        <v>132</v>
      </c>
      <c r="G49" s="2" t="s">
        <v>45</v>
      </c>
      <c r="H49" s="4" t="n">
        <v>385</v>
      </c>
      <c r="I49" s="5" t="n">
        <v>5</v>
      </c>
      <c r="J49" s="2" t="s">
        <v>29</v>
      </c>
      <c r="K49" s="6" t="n">
        <v>0.38</v>
      </c>
      <c r="L49" s="4" t="n">
        <v>238.7</v>
      </c>
      <c r="M49" s="4" t="n">
        <v>1011.44</v>
      </c>
      <c r="N49" s="6" t="n">
        <v>0.09</v>
      </c>
      <c r="O49" s="4" t="n">
        <v>91.03</v>
      </c>
      <c r="P49" s="6" t="n">
        <v>0.09</v>
      </c>
      <c r="Q49" s="4" t="n">
        <v>91.03</v>
      </c>
      <c r="R49" s="7" t="n">
        <f aca="false">M49+O49+P49</f>
        <v>1102.56</v>
      </c>
      <c r="S49" s="7" t="n">
        <f aca="false">H49*I49</f>
        <v>1925</v>
      </c>
      <c r="T49" s="7" t="n">
        <f aca="false">IF(K49="","",ROUND(H49*(1-K49),2))</f>
        <v>238.7</v>
      </c>
      <c r="U49" s="7" t="n">
        <f aca="false">ROUND(L49*I49/1.18,2)</f>
        <v>1011.44</v>
      </c>
      <c r="V49" s="7" t="n">
        <f aca="false">ROUND(M49-U49,2)</f>
        <v>0</v>
      </c>
      <c r="W49" s="8" t="str">
        <f aca="false">IF(ABS(V49)&gt;0.011,"CHECK","OK")</f>
        <v>OK</v>
      </c>
    </row>
    <row r="50" customFormat="false" ht="15" hidden="false" customHeight="false" outlineLevel="0" collapsed="false">
      <c r="A50" s="2" t="s">
        <v>95</v>
      </c>
      <c r="B50" s="2" t="s">
        <v>24</v>
      </c>
      <c r="C50" s="3" t="s">
        <v>96</v>
      </c>
      <c r="D50" s="2" t="n">
        <v>19</v>
      </c>
      <c r="E50" s="3" t="s">
        <v>133</v>
      </c>
      <c r="F50" s="3" t="s">
        <v>134</v>
      </c>
      <c r="G50" s="2" t="s">
        <v>45</v>
      </c>
      <c r="H50" s="4" t="n">
        <v>385</v>
      </c>
      <c r="I50" s="5" t="n">
        <v>5</v>
      </c>
      <c r="J50" s="2" t="s">
        <v>29</v>
      </c>
      <c r="K50" s="6" t="n">
        <v>0.38</v>
      </c>
      <c r="L50" s="4" t="n">
        <v>238.7</v>
      </c>
      <c r="M50" s="4" t="n">
        <v>1011.44</v>
      </c>
      <c r="N50" s="6" t="n">
        <v>0.09</v>
      </c>
      <c r="O50" s="4" t="n">
        <v>91.03</v>
      </c>
      <c r="P50" s="6" t="n">
        <v>0.09</v>
      </c>
      <c r="Q50" s="4" t="n">
        <v>91.03</v>
      </c>
      <c r="R50" s="7" t="n">
        <f aca="false">M50+O50+P50</f>
        <v>1102.56</v>
      </c>
      <c r="S50" s="7" t="n">
        <f aca="false">H50*I50</f>
        <v>1925</v>
      </c>
      <c r="T50" s="7" t="n">
        <f aca="false">IF(K50="","",ROUND(H50*(1-K50),2))</f>
        <v>238.7</v>
      </c>
      <c r="U50" s="7" t="n">
        <f aca="false">ROUND(L50*I50/1.18,2)</f>
        <v>1011.44</v>
      </c>
      <c r="V50" s="7" t="n">
        <f aca="false">ROUND(M50-U50,2)</f>
        <v>0</v>
      </c>
      <c r="W50" s="8" t="str">
        <f aca="false">IF(ABS(V50)&gt;0.011,"CHECK","OK")</f>
        <v>OK</v>
      </c>
    </row>
    <row r="51" customFormat="false" ht="15" hidden="false" customHeight="false" outlineLevel="0" collapsed="false">
      <c r="A51" s="2" t="s">
        <v>95</v>
      </c>
      <c r="B51" s="2" t="s">
        <v>24</v>
      </c>
      <c r="C51" s="3" t="s">
        <v>96</v>
      </c>
      <c r="D51" s="2" t="n">
        <v>20</v>
      </c>
      <c r="E51" s="3" t="s">
        <v>135</v>
      </c>
      <c r="F51" s="3" t="s">
        <v>136</v>
      </c>
      <c r="G51" s="2" t="s">
        <v>45</v>
      </c>
      <c r="H51" s="4" t="n">
        <v>385</v>
      </c>
      <c r="I51" s="5" t="n">
        <v>5</v>
      </c>
      <c r="J51" s="2" t="s">
        <v>29</v>
      </c>
      <c r="K51" s="6" t="n">
        <v>0.38</v>
      </c>
      <c r="L51" s="4" t="n">
        <v>238.7</v>
      </c>
      <c r="M51" s="4" t="n">
        <v>1011.44</v>
      </c>
      <c r="N51" s="6" t="n">
        <v>0.09</v>
      </c>
      <c r="O51" s="4" t="n">
        <v>91.03</v>
      </c>
      <c r="P51" s="6" t="n">
        <v>0.09</v>
      </c>
      <c r="Q51" s="4" t="n">
        <v>91.03</v>
      </c>
      <c r="R51" s="7" t="n">
        <f aca="false">M51+O51+P51</f>
        <v>1102.56</v>
      </c>
      <c r="S51" s="7" t="n">
        <f aca="false">H51*I51</f>
        <v>1925</v>
      </c>
      <c r="T51" s="7" t="n">
        <f aca="false">IF(K51="","",ROUND(H51*(1-K51),2))</f>
        <v>238.7</v>
      </c>
      <c r="U51" s="7" t="n">
        <f aca="false">ROUND(L51*I51/1.18,2)</f>
        <v>1011.44</v>
      </c>
      <c r="V51" s="7" t="n">
        <f aca="false">ROUND(M51-U51,2)</f>
        <v>0</v>
      </c>
      <c r="W51" s="8" t="str">
        <f aca="false">IF(ABS(V51)&gt;0.011,"CHECK","OK")</f>
        <v>OK</v>
      </c>
    </row>
    <row r="52" customFormat="false" ht="15" hidden="false" customHeight="false" outlineLevel="0" collapsed="false">
      <c r="A52" s="2" t="s">
        <v>95</v>
      </c>
      <c r="B52" s="2" t="s">
        <v>24</v>
      </c>
      <c r="C52" s="3" t="s">
        <v>96</v>
      </c>
      <c r="D52" s="2" t="n">
        <v>21</v>
      </c>
      <c r="E52" s="3" t="s">
        <v>137</v>
      </c>
      <c r="F52" s="3" t="s">
        <v>138</v>
      </c>
      <c r="G52" s="2" t="s">
        <v>45</v>
      </c>
      <c r="H52" s="4" t="n">
        <v>1035</v>
      </c>
      <c r="I52" s="5" t="n">
        <v>3</v>
      </c>
      <c r="J52" s="2" t="s">
        <v>29</v>
      </c>
      <c r="K52" s="6" t="n">
        <v>0.38</v>
      </c>
      <c r="L52" s="4" t="n">
        <v>641.7</v>
      </c>
      <c r="M52" s="4" t="n">
        <v>1631.44</v>
      </c>
      <c r="N52" s="6" t="n">
        <v>0.09</v>
      </c>
      <c r="O52" s="4" t="n">
        <v>146.83</v>
      </c>
      <c r="P52" s="6" t="n">
        <v>0.09</v>
      </c>
      <c r="Q52" s="4" t="n">
        <v>146.83</v>
      </c>
      <c r="R52" s="7" t="n">
        <f aca="false">M52+O52+P52</f>
        <v>1778.36</v>
      </c>
      <c r="S52" s="7" t="n">
        <f aca="false">H52*I52</f>
        <v>3105</v>
      </c>
      <c r="T52" s="7" t="n">
        <f aca="false">IF(K52="","",ROUND(H52*(1-K52),2))</f>
        <v>641.7</v>
      </c>
      <c r="U52" s="7" t="n">
        <f aca="false">ROUND(L52*I52/1.18,2)</f>
        <v>1631.44</v>
      </c>
      <c r="V52" s="7" t="n">
        <f aca="false">ROUND(M52-U52,2)</f>
        <v>0</v>
      </c>
      <c r="W52" s="8" t="str">
        <f aca="false">IF(ABS(V52)&gt;0.011,"CHECK","OK")</f>
        <v>OK</v>
      </c>
    </row>
    <row r="53" customFormat="false" ht="15" hidden="false" customHeight="false" outlineLevel="0" collapsed="false">
      <c r="A53" s="2" t="s">
        <v>95</v>
      </c>
      <c r="B53" s="2" t="s">
        <v>24</v>
      </c>
      <c r="C53" s="3" t="s">
        <v>96</v>
      </c>
      <c r="D53" s="2" t="n">
        <v>22</v>
      </c>
      <c r="E53" s="3" t="s">
        <v>139</v>
      </c>
      <c r="F53" s="3" t="s">
        <v>140</v>
      </c>
      <c r="G53" s="2" t="s">
        <v>45</v>
      </c>
      <c r="H53" s="4" t="n">
        <v>695</v>
      </c>
      <c r="I53" s="5" t="n">
        <v>4</v>
      </c>
      <c r="J53" s="2" t="s">
        <v>29</v>
      </c>
      <c r="K53" s="6" t="n">
        <v>0.38</v>
      </c>
      <c r="L53" s="4" t="n">
        <v>430.9</v>
      </c>
      <c r="M53" s="4" t="n">
        <v>1460.68</v>
      </c>
      <c r="N53" s="6" t="n">
        <v>0.09</v>
      </c>
      <c r="O53" s="4" t="n">
        <v>131.46</v>
      </c>
      <c r="P53" s="6" t="n">
        <v>0.09</v>
      </c>
      <c r="Q53" s="4" t="n">
        <v>131.46</v>
      </c>
      <c r="R53" s="7" t="n">
        <f aca="false">M53+O53+P53</f>
        <v>1592.23</v>
      </c>
      <c r="S53" s="7" t="n">
        <f aca="false">H53*I53</f>
        <v>2780</v>
      </c>
      <c r="T53" s="7" t="n">
        <f aca="false">IF(K53="","",ROUND(H53*(1-K53),2))</f>
        <v>430.9</v>
      </c>
      <c r="U53" s="7" t="n">
        <f aca="false">ROUND(L53*I53/1.18,2)</f>
        <v>1460.68</v>
      </c>
      <c r="V53" s="7" t="n">
        <f aca="false">ROUND(M53-U53,2)</f>
        <v>0</v>
      </c>
      <c r="W53" s="8" t="str">
        <f aca="false">IF(ABS(V53)&gt;0.011,"CHECK","OK")</f>
        <v>OK</v>
      </c>
    </row>
    <row r="54" customFormat="false" ht="15" hidden="false" customHeight="false" outlineLevel="0" collapsed="false">
      <c r="A54" s="2" t="s">
        <v>95</v>
      </c>
      <c r="B54" s="2" t="s">
        <v>24</v>
      </c>
      <c r="C54" s="3" t="s">
        <v>96</v>
      </c>
      <c r="D54" s="2" t="n">
        <v>23</v>
      </c>
      <c r="E54" s="3" t="s">
        <v>141</v>
      </c>
      <c r="F54" s="3" t="s">
        <v>142</v>
      </c>
      <c r="G54" s="2" t="s">
        <v>45</v>
      </c>
      <c r="H54" s="4" t="n">
        <v>695</v>
      </c>
      <c r="I54" s="5" t="n">
        <v>4</v>
      </c>
      <c r="J54" s="2" t="s">
        <v>29</v>
      </c>
      <c r="K54" s="6" t="n">
        <v>0.38</v>
      </c>
      <c r="L54" s="4" t="n">
        <v>430.9</v>
      </c>
      <c r="M54" s="4" t="n">
        <v>1460.68</v>
      </c>
      <c r="N54" s="6" t="n">
        <v>0.09</v>
      </c>
      <c r="O54" s="4" t="n">
        <v>131.46</v>
      </c>
      <c r="P54" s="6" t="n">
        <v>0.09</v>
      </c>
      <c r="Q54" s="4" t="n">
        <v>131.46</v>
      </c>
      <c r="R54" s="7" t="n">
        <f aca="false">M54+O54+P54</f>
        <v>1592.23</v>
      </c>
      <c r="S54" s="7" t="n">
        <f aca="false">H54*I54</f>
        <v>2780</v>
      </c>
      <c r="T54" s="7" t="n">
        <f aca="false">IF(K54="","",ROUND(H54*(1-K54),2))</f>
        <v>430.9</v>
      </c>
      <c r="U54" s="7" t="n">
        <f aca="false">ROUND(L54*I54/1.18,2)</f>
        <v>1460.68</v>
      </c>
      <c r="V54" s="7" t="n">
        <f aca="false">ROUND(M54-U54,2)</f>
        <v>0</v>
      </c>
      <c r="W54" s="8" t="str">
        <f aca="false">IF(ABS(V54)&gt;0.011,"CHECK","OK")</f>
        <v>OK</v>
      </c>
    </row>
    <row r="55" customFormat="false" ht="15" hidden="false" customHeight="false" outlineLevel="0" collapsed="false">
      <c r="A55" s="2" t="s">
        <v>95</v>
      </c>
      <c r="B55" s="2" t="s">
        <v>24</v>
      </c>
      <c r="C55" s="3" t="s">
        <v>96</v>
      </c>
      <c r="D55" s="2" t="n">
        <v>24</v>
      </c>
      <c r="E55" s="3" t="s">
        <v>143</v>
      </c>
      <c r="F55" s="3" t="s">
        <v>144</v>
      </c>
      <c r="G55" s="2" t="s">
        <v>45</v>
      </c>
      <c r="H55" s="4" t="n">
        <v>695</v>
      </c>
      <c r="I55" s="5" t="n">
        <v>4</v>
      </c>
      <c r="J55" s="2" t="s">
        <v>29</v>
      </c>
      <c r="K55" s="6" t="n">
        <v>0.38</v>
      </c>
      <c r="L55" s="4" t="n">
        <v>430.9</v>
      </c>
      <c r="M55" s="4" t="n">
        <v>1460.68</v>
      </c>
      <c r="N55" s="6" t="n">
        <v>0.09</v>
      </c>
      <c r="O55" s="4" t="n">
        <v>131.46</v>
      </c>
      <c r="P55" s="6" t="n">
        <v>0.09</v>
      </c>
      <c r="Q55" s="4" t="n">
        <v>131.46</v>
      </c>
      <c r="R55" s="7" t="n">
        <f aca="false">M55+O55+P55</f>
        <v>1592.23</v>
      </c>
      <c r="S55" s="7" t="n">
        <f aca="false">H55*I55</f>
        <v>2780</v>
      </c>
      <c r="T55" s="7" t="n">
        <f aca="false">IF(K55="","",ROUND(H55*(1-K55),2))</f>
        <v>430.9</v>
      </c>
      <c r="U55" s="7" t="n">
        <f aca="false">ROUND(L55*I55/1.18,2)</f>
        <v>1460.68</v>
      </c>
      <c r="V55" s="7" t="n">
        <f aca="false">ROUND(M55-U55,2)</f>
        <v>0</v>
      </c>
      <c r="W55" s="8" t="str">
        <f aca="false">IF(ABS(V55)&gt;0.011,"CHECK","OK")</f>
        <v>OK</v>
      </c>
    </row>
    <row r="56" customFormat="false" ht="15" hidden="false" customHeight="false" outlineLevel="0" collapsed="false">
      <c r="A56" s="2" t="s">
        <v>95</v>
      </c>
      <c r="B56" s="2" t="s">
        <v>24</v>
      </c>
      <c r="C56" s="3" t="s">
        <v>96</v>
      </c>
      <c r="D56" s="2" t="n">
        <v>25</v>
      </c>
      <c r="E56" s="3" t="s">
        <v>145</v>
      </c>
      <c r="F56" s="3" t="s">
        <v>146</v>
      </c>
      <c r="G56" s="2" t="s">
        <v>45</v>
      </c>
      <c r="H56" s="4" t="n">
        <v>690</v>
      </c>
      <c r="I56" s="5" t="n">
        <v>2</v>
      </c>
      <c r="J56" s="2"/>
      <c r="K56" s="6" t="n">
        <v>0.38</v>
      </c>
      <c r="L56" s="4" t="n">
        <v>427.8</v>
      </c>
      <c r="M56" s="4" t="n">
        <v>725.08</v>
      </c>
      <c r="N56" s="6" t="n">
        <v>0.09</v>
      </c>
      <c r="O56" s="4" t="n">
        <v>65.26</v>
      </c>
      <c r="P56" s="6" t="n">
        <v>0.09</v>
      </c>
      <c r="Q56" s="4" t="n">
        <v>65.26</v>
      </c>
      <c r="R56" s="7" t="n">
        <f aca="false">M56+O56+P56</f>
        <v>790.43</v>
      </c>
      <c r="S56" s="7" t="n">
        <f aca="false">H56*I56</f>
        <v>1380</v>
      </c>
      <c r="T56" s="7" t="n">
        <f aca="false">IF(K56="","",ROUND(H56*(1-K56),2))</f>
        <v>427.8</v>
      </c>
      <c r="U56" s="7" t="n">
        <f aca="false">ROUND(L56*I56/1.18,2)</f>
        <v>725.08</v>
      </c>
      <c r="V56" s="7" t="n">
        <f aca="false">ROUND(M56-U56,2)</f>
        <v>0</v>
      </c>
      <c r="W56" s="8" t="str">
        <f aca="false">IF(ABS(V56)&gt;0.011,"CHECK","OK")</f>
        <v>OK</v>
      </c>
    </row>
    <row r="57" customFormat="false" ht="15" hidden="false" customHeight="false" outlineLevel="0" collapsed="false">
      <c r="A57" s="2" t="s">
        <v>95</v>
      </c>
      <c r="B57" s="2" t="s">
        <v>24</v>
      </c>
      <c r="C57" s="3" t="s">
        <v>96</v>
      </c>
      <c r="D57" s="2" t="n">
        <v>26</v>
      </c>
      <c r="E57" s="3" t="s">
        <v>147</v>
      </c>
      <c r="F57" s="3" t="s">
        <v>148</v>
      </c>
      <c r="G57" s="2" t="s">
        <v>45</v>
      </c>
      <c r="H57" s="4" t="n">
        <v>690</v>
      </c>
      <c r="I57" s="5" t="n">
        <v>2</v>
      </c>
      <c r="J57" s="2" t="s">
        <v>29</v>
      </c>
      <c r="K57" s="6" t="n">
        <v>0.38</v>
      </c>
      <c r="L57" s="4" t="n">
        <v>427.8</v>
      </c>
      <c r="M57" s="4" t="n">
        <v>725.08</v>
      </c>
      <c r="N57" s="6" t="n">
        <v>0.09</v>
      </c>
      <c r="O57" s="4" t="n">
        <v>65.26</v>
      </c>
      <c r="P57" s="6" t="n">
        <v>0.09</v>
      </c>
      <c r="Q57" s="4" t="n">
        <v>65.26</v>
      </c>
      <c r="R57" s="7" t="n">
        <f aca="false">M57+O57+P57</f>
        <v>790.43</v>
      </c>
      <c r="S57" s="7" t="n">
        <f aca="false">H57*I57</f>
        <v>1380</v>
      </c>
      <c r="T57" s="7" t="n">
        <f aca="false">IF(K57="","",ROUND(H57*(1-K57),2))</f>
        <v>427.8</v>
      </c>
      <c r="U57" s="7" t="n">
        <f aca="false">ROUND(L57*I57/1.18,2)</f>
        <v>725.08</v>
      </c>
      <c r="V57" s="7" t="n">
        <f aca="false">ROUND(M57-U57,2)</f>
        <v>0</v>
      </c>
      <c r="W57" s="8" t="str">
        <f aca="false">IF(ABS(V57)&gt;0.011,"CHECK","OK")</f>
        <v>OK</v>
      </c>
    </row>
    <row r="58" customFormat="false" ht="15" hidden="false" customHeight="false" outlineLevel="0" collapsed="false">
      <c r="A58" s="2" t="s">
        <v>95</v>
      </c>
      <c r="B58" s="2" t="s">
        <v>24</v>
      </c>
      <c r="C58" s="3" t="s">
        <v>96</v>
      </c>
      <c r="D58" s="2" t="n">
        <v>27</v>
      </c>
      <c r="E58" s="3" t="s">
        <v>149</v>
      </c>
      <c r="F58" s="3" t="s">
        <v>150</v>
      </c>
      <c r="G58" s="2" t="s">
        <v>45</v>
      </c>
      <c r="H58" s="4" t="n">
        <v>760</v>
      </c>
      <c r="I58" s="5" t="n">
        <v>2</v>
      </c>
      <c r="J58" s="2" t="s">
        <v>40</v>
      </c>
      <c r="K58" s="6" t="n">
        <v>0.38</v>
      </c>
      <c r="L58" s="4" t="n">
        <v>471.2</v>
      </c>
      <c r="M58" s="4" t="n">
        <v>798.64</v>
      </c>
      <c r="N58" s="6" t="n">
        <v>0.09</v>
      </c>
      <c r="O58" s="4" t="n">
        <v>71.88</v>
      </c>
      <c r="P58" s="6" t="n">
        <v>0.09</v>
      </c>
      <c r="Q58" s="4" t="n">
        <v>71.88</v>
      </c>
      <c r="R58" s="7" t="n">
        <f aca="false">M58+O58+P58</f>
        <v>870.61</v>
      </c>
      <c r="S58" s="7" t="n">
        <f aca="false">H58*I58</f>
        <v>1520</v>
      </c>
      <c r="T58" s="7" t="n">
        <f aca="false">IF(K58="","",ROUND(H58*(1-K58),2))</f>
        <v>471.2</v>
      </c>
      <c r="U58" s="7" t="n">
        <f aca="false">ROUND(L58*I58/1.18,2)</f>
        <v>798.64</v>
      </c>
      <c r="V58" s="7" t="n">
        <f aca="false">ROUND(M58-U58,2)</f>
        <v>0</v>
      </c>
      <c r="W58" s="8" t="str">
        <f aca="false">IF(ABS(V58)&gt;0.011,"CHECK","OK")</f>
        <v>OK</v>
      </c>
    </row>
    <row r="59" customFormat="false" ht="15" hidden="false" customHeight="false" outlineLevel="0" collapsed="false">
      <c r="A59" s="2" t="s">
        <v>95</v>
      </c>
      <c r="B59" s="2" t="s">
        <v>24</v>
      </c>
      <c r="C59" s="3" t="s">
        <v>96</v>
      </c>
      <c r="D59" s="2" t="n">
        <v>28</v>
      </c>
      <c r="E59" s="3" t="s">
        <v>151</v>
      </c>
      <c r="F59" s="3" t="s">
        <v>152</v>
      </c>
      <c r="G59" s="2" t="s">
        <v>45</v>
      </c>
      <c r="H59" s="4" t="n">
        <v>760</v>
      </c>
      <c r="I59" s="5" t="n">
        <v>2</v>
      </c>
      <c r="J59" s="2" t="s">
        <v>40</v>
      </c>
      <c r="K59" s="6" t="n">
        <v>0.38</v>
      </c>
      <c r="L59" s="4" t="n">
        <v>471.2</v>
      </c>
      <c r="M59" s="4" t="n">
        <v>798.64</v>
      </c>
      <c r="N59" s="6" t="n">
        <v>0.09</v>
      </c>
      <c r="O59" s="4" t="n">
        <v>71.88</v>
      </c>
      <c r="P59" s="6" t="n">
        <v>0.09</v>
      </c>
      <c r="Q59" s="4" t="n">
        <v>71.88</v>
      </c>
      <c r="R59" s="7" t="n">
        <f aca="false">M59+O59+P59</f>
        <v>870.61</v>
      </c>
      <c r="S59" s="7" t="n">
        <f aca="false">H59*I59</f>
        <v>1520</v>
      </c>
      <c r="T59" s="7" t="n">
        <f aca="false">IF(K59="","",ROUND(H59*(1-K59),2))</f>
        <v>471.2</v>
      </c>
      <c r="U59" s="7" t="n">
        <f aca="false">ROUND(L59*I59/1.18,2)</f>
        <v>798.64</v>
      </c>
      <c r="V59" s="7" t="n">
        <f aca="false">ROUND(M59-U59,2)</f>
        <v>0</v>
      </c>
      <c r="W59" s="8" t="str">
        <f aca="false">IF(ABS(V59)&gt;0.011,"CHECK","OK")</f>
        <v>OK</v>
      </c>
    </row>
    <row r="60" customFormat="false" ht="15" hidden="false" customHeight="false" outlineLevel="0" collapsed="false">
      <c r="A60" s="2" t="s">
        <v>95</v>
      </c>
      <c r="B60" s="2" t="s">
        <v>24</v>
      </c>
      <c r="C60" s="3" t="s">
        <v>96</v>
      </c>
      <c r="D60" s="2" t="n">
        <v>29</v>
      </c>
      <c r="E60" s="3" t="s">
        <v>153</v>
      </c>
      <c r="F60" s="3" t="s">
        <v>154</v>
      </c>
      <c r="G60" s="2" t="s">
        <v>45</v>
      </c>
      <c r="H60" s="4" t="n">
        <v>1215</v>
      </c>
      <c r="I60" s="5" t="n">
        <v>2</v>
      </c>
      <c r="J60" s="2" t="s">
        <v>68</v>
      </c>
      <c r="K60" s="6" t="n">
        <v>0.38</v>
      </c>
      <c r="L60" s="4" t="n">
        <v>753.3</v>
      </c>
      <c r="M60" s="4" t="n">
        <v>1276.78</v>
      </c>
      <c r="N60" s="6" t="n">
        <v>0.09</v>
      </c>
      <c r="O60" s="4" t="n">
        <v>114.91</v>
      </c>
      <c r="P60" s="6" t="n">
        <v>0.09</v>
      </c>
      <c r="Q60" s="4" t="n">
        <v>114.91</v>
      </c>
      <c r="R60" s="7" t="n">
        <f aca="false">M60+O60+P60</f>
        <v>1391.78</v>
      </c>
      <c r="S60" s="7" t="n">
        <f aca="false">H60*I60</f>
        <v>2430</v>
      </c>
      <c r="T60" s="7" t="n">
        <f aca="false">IF(K60="","",ROUND(H60*(1-K60),2))</f>
        <v>753.3</v>
      </c>
      <c r="U60" s="7" t="n">
        <f aca="false">ROUND(L60*I60/1.18,2)</f>
        <v>1276.78</v>
      </c>
      <c r="V60" s="7" t="n">
        <f aca="false">ROUND(M60-U60,2)</f>
        <v>0</v>
      </c>
      <c r="W60" s="8" t="str">
        <f aca="false">IF(ABS(V60)&gt;0.011,"CHECK","OK")</f>
        <v>OK</v>
      </c>
    </row>
    <row r="61" customFormat="false" ht="15" hidden="false" customHeight="false" outlineLevel="0" collapsed="false">
      <c r="A61" s="2" t="s">
        <v>95</v>
      </c>
      <c r="B61" s="2" t="s">
        <v>24</v>
      </c>
      <c r="C61" s="3" t="s">
        <v>96</v>
      </c>
      <c r="D61" s="2" t="n">
        <v>30</v>
      </c>
      <c r="E61" s="3" t="s">
        <v>155</v>
      </c>
      <c r="F61" s="3" t="s">
        <v>156</v>
      </c>
      <c r="G61" s="2" t="s">
        <v>45</v>
      </c>
      <c r="H61" s="4" t="n">
        <v>180</v>
      </c>
      <c r="I61" s="5" t="n">
        <v>5</v>
      </c>
      <c r="J61" s="2" t="s">
        <v>29</v>
      </c>
      <c r="K61" s="6" t="n">
        <v>0.38</v>
      </c>
      <c r="L61" s="4" t="n">
        <v>111.6</v>
      </c>
      <c r="M61" s="4" t="n">
        <v>472.88</v>
      </c>
      <c r="N61" s="6" t="n">
        <v>0.09</v>
      </c>
      <c r="O61" s="4" t="n">
        <v>42.56</v>
      </c>
      <c r="P61" s="6" t="n">
        <v>0.09</v>
      </c>
      <c r="Q61" s="4" t="n">
        <v>42.56</v>
      </c>
      <c r="R61" s="7" t="n">
        <f aca="false">M61+O61+P61</f>
        <v>515.53</v>
      </c>
      <c r="S61" s="7" t="n">
        <f aca="false">H61*I61</f>
        <v>900</v>
      </c>
      <c r="T61" s="7" t="n">
        <f aca="false">IF(K61="","",ROUND(H61*(1-K61),2))</f>
        <v>111.6</v>
      </c>
      <c r="U61" s="7" t="n">
        <f aca="false">ROUND(L61*I61/1.18,2)</f>
        <v>472.88</v>
      </c>
      <c r="V61" s="7" t="n">
        <f aca="false">ROUND(M61-U61,2)</f>
        <v>0</v>
      </c>
      <c r="W61" s="8" t="str">
        <f aca="false">IF(ABS(V61)&gt;0.011,"CHECK","OK")</f>
        <v>OK</v>
      </c>
    </row>
    <row r="62" customFormat="false" ht="15" hidden="false" customHeight="false" outlineLevel="0" collapsed="false">
      <c r="A62" s="2" t="s">
        <v>95</v>
      </c>
      <c r="B62" s="2" t="s">
        <v>24</v>
      </c>
      <c r="C62" s="3" t="s">
        <v>96</v>
      </c>
      <c r="D62" s="2" t="n">
        <v>31</v>
      </c>
      <c r="E62" s="3" t="s">
        <v>157</v>
      </c>
      <c r="F62" s="3" t="s">
        <v>158</v>
      </c>
      <c r="G62" s="2" t="s">
        <v>45</v>
      </c>
      <c r="H62" s="4" t="n">
        <v>180</v>
      </c>
      <c r="I62" s="5" t="n">
        <v>5</v>
      </c>
      <c r="J62" s="2" t="s">
        <v>29</v>
      </c>
      <c r="K62" s="6" t="n">
        <v>0.38</v>
      </c>
      <c r="L62" s="4" t="n">
        <v>111.6</v>
      </c>
      <c r="M62" s="4" t="n">
        <v>472.88</v>
      </c>
      <c r="N62" s="6" t="n">
        <v>0.09</v>
      </c>
      <c r="O62" s="4" t="n">
        <v>42.56</v>
      </c>
      <c r="P62" s="6" t="n">
        <v>0.09</v>
      </c>
      <c r="Q62" s="4" t="n">
        <v>42.56</v>
      </c>
      <c r="R62" s="7" t="n">
        <f aca="false">M62+O62+P62</f>
        <v>515.53</v>
      </c>
      <c r="S62" s="7" t="n">
        <f aca="false">H62*I62</f>
        <v>900</v>
      </c>
      <c r="T62" s="7" t="n">
        <f aca="false">IF(K62="","",ROUND(H62*(1-K62),2))</f>
        <v>111.6</v>
      </c>
      <c r="U62" s="7" t="n">
        <f aca="false">ROUND(L62*I62/1.18,2)</f>
        <v>472.88</v>
      </c>
      <c r="V62" s="7" t="n">
        <f aca="false">ROUND(M62-U62,2)</f>
        <v>0</v>
      </c>
      <c r="W62" s="8" t="str">
        <f aca="false">IF(ABS(V62)&gt;0.011,"CHECK","OK")</f>
        <v>OK</v>
      </c>
    </row>
    <row r="63" customFormat="false" ht="15" hidden="false" customHeight="false" outlineLevel="0" collapsed="false">
      <c r="A63" s="2" t="s">
        <v>95</v>
      </c>
      <c r="B63" s="2" t="s">
        <v>24</v>
      </c>
      <c r="C63" s="3" t="s">
        <v>96</v>
      </c>
      <c r="D63" s="2" t="n">
        <v>32</v>
      </c>
      <c r="E63" s="3" t="s">
        <v>159</v>
      </c>
      <c r="F63" s="3" t="s">
        <v>160</v>
      </c>
      <c r="G63" s="2" t="s">
        <v>45</v>
      </c>
      <c r="H63" s="4" t="n">
        <v>95</v>
      </c>
      <c r="I63" s="5" t="n">
        <v>10</v>
      </c>
      <c r="J63" s="2" t="s">
        <v>29</v>
      </c>
      <c r="K63" s="6" t="n">
        <v>0.38</v>
      </c>
      <c r="L63" s="4" t="n">
        <v>58.9</v>
      </c>
      <c r="M63" s="4" t="n">
        <v>499.15</v>
      </c>
      <c r="N63" s="6" t="n">
        <v>0.09</v>
      </c>
      <c r="O63" s="4" t="n">
        <v>44.92</v>
      </c>
      <c r="P63" s="6" t="n">
        <v>0.09</v>
      </c>
      <c r="Q63" s="4" t="n">
        <v>44.92</v>
      </c>
      <c r="R63" s="7" t="n">
        <f aca="false">M63+O63+P63</f>
        <v>544.16</v>
      </c>
      <c r="S63" s="7" t="n">
        <f aca="false">H63*I63</f>
        <v>950</v>
      </c>
      <c r="T63" s="7" t="n">
        <f aca="false">IF(K63="","",ROUND(H63*(1-K63),2))</f>
        <v>58.9</v>
      </c>
      <c r="U63" s="7" t="n">
        <f aca="false">ROUND(L63*I63/1.18,2)</f>
        <v>499.15</v>
      </c>
      <c r="V63" s="7" t="n">
        <f aca="false">ROUND(M63-U63,2)</f>
        <v>0</v>
      </c>
      <c r="W63" s="8" t="str">
        <f aca="false">IF(ABS(V63)&gt;0.011,"CHECK","OK")</f>
        <v>OK</v>
      </c>
    </row>
    <row r="64" customFormat="false" ht="15" hidden="false" customHeight="false" outlineLevel="0" collapsed="false">
      <c r="A64" s="2" t="s">
        <v>95</v>
      </c>
      <c r="B64" s="2" t="s">
        <v>24</v>
      </c>
      <c r="C64" s="3" t="s">
        <v>96</v>
      </c>
      <c r="D64" s="2" t="n">
        <v>33</v>
      </c>
      <c r="E64" s="3" t="s">
        <v>161</v>
      </c>
      <c r="F64" s="3" t="s">
        <v>162</v>
      </c>
      <c r="G64" s="2" t="s">
        <v>45</v>
      </c>
      <c r="H64" s="4" t="n">
        <v>540</v>
      </c>
      <c r="I64" s="5" t="n">
        <v>4</v>
      </c>
      <c r="J64" s="2" t="s">
        <v>29</v>
      </c>
      <c r="K64" s="6" t="n">
        <v>0.38</v>
      </c>
      <c r="L64" s="4" t="n">
        <v>334.8</v>
      </c>
      <c r="M64" s="4" t="n">
        <v>1134.92</v>
      </c>
      <c r="N64" s="6" t="n">
        <v>0.09</v>
      </c>
      <c r="O64" s="4" t="n">
        <v>102.14</v>
      </c>
      <c r="P64" s="6" t="n">
        <v>0.09</v>
      </c>
      <c r="Q64" s="4" t="n">
        <v>102.14</v>
      </c>
      <c r="R64" s="7" t="n">
        <f aca="false">M64+O64+P64</f>
        <v>1237.15</v>
      </c>
      <c r="S64" s="7" t="n">
        <f aca="false">H64*I64</f>
        <v>2160</v>
      </c>
      <c r="T64" s="7" t="n">
        <f aca="false">IF(K64="","",ROUND(H64*(1-K64),2))</f>
        <v>334.8</v>
      </c>
      <c r="U64" s="7" t="n">
        <f aca="false">ROUND(L64*I64/1.18,2)</f>
        <v>1134.92</v>
      </c>
      <c r="V64" s="7" t="n">
        <f aca="false">ROUND(M64-U64,2)</f>
        <v>0</v>
      </c>
      <c r="W64" s="8" t="str">
        <f aca="false">IF(ABS(V64)&gt;0.011,"CHECK","OK")</f>
        <v>OK</v>
      </c>
    </row>
    <row r="65" customFormat="false" ht="15" hidden="false" customHeight="false" outlineLevel="0" collapsed="false">
      <c r="A65" s="2" t="s">
        <v>95</v>
      </c>
      <c r="B65" s="2" t="s">
        <v>24</v>
      </c>
      <c r="C65" s="3" t="s">
        <v>96</v>
      </c>
      <c r="D65" s="2" t="n">
        <v>34</v>
      </c>
      <c r="E65" s="3" t="s">
        <v>163</v>
      </c>
      <c r="F65" s="3" t="s">
        <v>164</v>
      </c>
      <c r="G65" s="2" t="s">
        <v>45</v>
      </c>
      <c r="H65" s="4" t="n">
        <v>540</v>
      </c>
      <c r="I65" s="5" t="n">
        <v>2</v>
      </c>
      <c r="J65" s="2" t="s">
        <v>29</v>
      </c>
      <c r="K65" s="6" t="n">
        <v>0.38</v>
      </c>
      <c r="L65" s="4" t="n">
        <v>334.8</v>
      </c>
      <c r="M65" s="4" t="n">
        <v>567.46</v>
      </c>
      <c r="N65" s="6" t="n">
        <v>0.09</v>
      </c>
      <c r="O65" s="4" t="n">
        <v>51.07</v>
      </c>
      <c r="P65" s="6" t="n">
        <v>0.09</v>
      </c>
      <c r="Q65" s="4" t="n">
        <v>51.07</v>
      </c>
      <c r="R65" s="7" t="n">
        <f aca="false">M65+O65+P65</f>
        <v>618.62</v>
      </c>
      <c r="S65" s="7" t="n">
        <f aca="false">H65*I65</f>
        <v>1080</v>
      </c>
      <c r="T65" s="7" t="n">
        <f aca="false">IF(K65="","",ROUND(H65*(1-K65),2))</f>
        <v>334.8</v>
      </c>
      <c r="U65" s="7" t="n">
        <f aca="false">ROUND(L65*I65/1.18,2)</f>
        <v>567.46</v>
      </c>
      <c r="V65" s="7" t="n">
        <f aca="false">ROUND(M65-U65,2)</f>
        <v>0</v>
      </c>
      <c r="W65" s="8" t="str">
        <f aca="false">IF(ABS(V65)&gt;0.011,"CHECK","OK")</f>
        <v>OK</v>
      </c>
    </row>
    <row r="66" customFormat="false" ht="15" hidden="false" customHeight="false" outlineLevel="0" collapsed="false">
      <c r="A66" s="2" t="s">
        <v>95</v>
      </c>
      <c r="B66" s="2" t="s">
        <v>24</v>
      </c>
      <c r="C66" s="3" t="s">
        <v>96</v>
      </c>
      <c r="D66" s="2" t="n">
        <v>35</v>
      </c>
      <c r="E66" s="3" t="s">
        <v>165</v>
      </c>
      <c r="F66" s="3" t="s">
        <v>166</v>
      </c>
      <c r="G66" s="2" t="s">
        <v>45</v>
      </c>
      <c r="H66" s="4" t="n">
        <v>1015</v>
      </c>
      <c r="I66" s="5" t="n">
        <v>2</v>
      </c>
      <c r="J66" s="2" t="s">
        <v>40</v>
      </c>
      <c r="K66" s="6" t="n">
        <v>0.38</v>
      </c>
      <c r="L66" s="4" t="n">
        <v>629.3</v>
      </c>
      <c r="M66" s="4" t="n">
        <v>1066.61</v>
      </c>
      <c r="N66" s="6" t="n">
        <v>0.09</v>
      </c>
      <c r="O66" s="4" t="n">
        <v>95.99</v>
      </c>
      <c r="P66" s="6" t="n">
        <v>0.09</v>
      </c>
      <c r="Q66" s="4" t="n">
        <v>95.99</v>
      </c>
      <c r="R66" s="7" t="n">
        <f aca="false">M66+O66+P66</f>
        <v>1162.69</v>
      </c>
      <c r="S66" s="7" t="n">
        <f aca="false">H66*I66</f>
        <v>2030</v>
      </c>
      <c r="T66" s="7" t="n">
        <f aca="false">IF(K66="","",ROUND(H66*(1-K66),2))</f>
        <v>629.3</v>
      </c>
      <c r="U66" s="7" t="n">
        <f aca="false">ROUND(L66*I66/1.18,2)</f>
        <v>1066.61</v>
      </c>
      <c r="V66" s="7" t="n">
        <f aca="false">ROUND(M66-U66,2)</f>
        <v>0</v>
      </c>
      <c r="W66" s="8" t="str">
        <f aca="false">IF(ABS(V66)&gt;0.011,"CHECK","OK")</f>
        <v>OK</v>
      </c>
    </row>
    <row r="67" customFormat="false" ht="15" hidden="false" customHeight="false" outlineLevel="0" collapsed="false">
      <c r="A67" s="2" t="s">
        <v>95</v>
      </c>
      <c r="B67" s="2" t="s">
        <v>24</v>
      </c>
      <c r="C67" s="3" t="s">
        <v>96</v>
      </c>
      <c r="D67" s="2" t="n">
        <v>36</v>
      </c>
      <c r="E67" s="3" t="s">
        <v>167</v>
      </c>
      <c r="F67" s="3" t="s">
        <v>168</v>
      </c>
      <c r="G67" s="2" t="s">
        <v>45</v>
      </c>
      <c r="H67" s="4" t="n">
        <v>575</v>
      </c>
      <c r="I67" s="5" t="n">
        <v>3</v>
      </c>
      <c r="J67" s="2" t="s">
        <v>29</v>
      </c>
      <c r="K67" s="6" t="n">
        <v>0.38</v>
      </c>
      <c r="L67" s="4" t="n">
        <v>356.5</v>
      </c>
      <c r="M67" s="4" t="n">
        <v>906.36</v>
      </c>
      <c r="N67" s="6" t="n">
        <v>0.09</v>
      </c>
      <c r="O67" s="4" t="n">
        <v>81.57</v>
      </c>
      <c r="P67" s="6" t="n">
        <v>0.09</v>
      </c>
      <c r="Q67" s="4" t="n">
        <v>81.57</v>
      </c>
      <c r="R67" s="7" t="n">
        <f aca="false">M67+O67+P67</f>
        <v>988.02</v>
      </c>
      <c r="S67" s="7" t="n">
        <f aca="false">H67*I67</f>
        <v>1725</v>
      </c>
      <c r="T67" s="7" t="n">
        <f aca="false">IF(K67="","",ROUND(H67*(1-K67),2))</f>
        <v>356.5</v>
      </c>
      <c r="U67" s="7" t="n">
        <f aca="false">ROUND(L67*I67/1.18,2)</f>
        <v>906.36</v>
      </c>
      <c r="V67" s="7" t="n">
        <f aca="false">ROUND(M67-U67,2)</f>
        <v>0</v>
      </c>
      <c r="W67" s="8" t="str">
        <f aca="false">IF(ABS(V67)&gt;0.011,"CHECK","OK")</f>
        <v>OK</v>
      </c>
    </row>
    <row r="68" customFormat="false" ht="15" hidden="false" customHeight="false" outlineLevel="0" collapsed="false">
      <c r="A68" s="2" t="s">
        <v>95</v>
      </c>
      <c r="B68" s="2" t="s">
        <v>24</v>
      </c>
      <c r="C68" s="3" t="s">
        <v>96</v>
      </c>
      <c r="D68" s="2" t="n">
        <v>37</v>
      </c>
      <c r="E68" s="3" t="s">
        <v>169</v>
      </c>
      <c r="F68" s="3" t="s">
        <v>170</v>
      </c>
      <c r="G68" s="2" t="s">
        <v>45</v>
      </c>
      <c r="H68" s="4" t="n">
        <v>865</v>
      </c>
      <c r="I68" s="5" t="n">
        <v>1</v>
      </c>
      <c r="J68" s="2" t="s">
        <v>40</v>
      </c>
      <c r="K68" s="6" t="n">
        <v>0.38</v>
      </c>
      <c r="L68" s="4" t="n">
        <v>536.3</v>
      </c>
      <c r="M68" s="4" t="n">
        <v>454.49</v>
      </c>
      <c r="N68" s="6" t="n">
        <v>0.09</v>
      </c>
      <c r="O68" s="4" t="n">
        <v>40.9</v>
      </c>
      <c r="P68" s="6" t="n">
        <v>0.09</v>
      </c>
      <c r="Q68" s="4" t="n">
        <v>40.9</v>
      </c>
      <c r="R68" s="7" t="n">
        <f aca="false">M68+O68+P68</f>
        <v>495.48</v>
      </c>
      <c r="S68" s="7" t="n">
        <f aca="false">H68*I68</f>
        <v>865</v>
      </c>
      <c r="T68" s="7" t="n">
        <f aca="false">IF(K68="","",ROUND(H68*(1-K68),2))</f>
        <v>536.3</v>
      </c>
      <c r="U68" s="7" t="n">
        <f aca="false">ROUND(L68*I68/1.18,2)</f>
        <v>454.49</v>
      </c>
      <c r="V68" s="7" t="n">
        <f aca="false">ROUND(M68-U68,2)</f>
        <v>0</v>
      </c>
      <c r="W68" s="8" t="str">
        <f aca="false">IF(ABS(V68)&gt;0.011,"CHECK","OK")</f>
        <v>OK</v>
      </c>
    </row>
    <row r="69" customFormat="false" ht="15" hidden="false" customHeight="false" outlineLevel="0" collapsed="false">
      <c r="A69" s="2" t="s">
        <v>95</v>
      </c>
      <c r="B69" s="2" t="s">
        <v>24</v>
      </c>
      <c r="C69" s="3" t="s">
        <v>96</v>
      </c>
      <c r="D69" s="2" t="n">
        <v>38</v>
      </c>
      <c r="E69" s="3" t="s">
        <v>171</v>
      </c>
      <c r="F69" s="3" t="s">
        <v>172</v>
      </c>
      <c r="G69" s="2" t="s">
        <v>45</v>
      </c>
      <c r="H69" s="4" t="n">
        <v>425</v>
      </c>
      <c r="I69" s="5" t="n">
        <v>4</v>
      </c>
      <c r="J69" s="2" t="s">
        <v>40</v>
      </c>
      <c r="K69" s="6" t="n">
        <v>0.38</v>
      </c>
      <c r="L69" s="4" t="n">
        <v>263.5</v>
      </c>
      <c r="M69" s="4" t="n">
        <v>893.22</v>
      </c>
      <c r="N69" s="6" t="n">
        <v>0.09</v>
      </c>
      <c r="O69" s="4" t="n">
        <v>80.39</v>
      </c>
      <c r="P69" s="6" t="n">
        <v>0.09</v>
      </c>
      <c r="Q69" s="4" t="n">
        <v>80.39</v>
      </c>
      <c r="R69" s="7" t="n">
        <f aca="false">M69+O69+P69</f>
        <v>973.7</v>
      </c>
      <c r="S69" s="7" t="n">
        <f aca="false">H69*I69</f>
        <v>1700</v>
      </c>
      <c r="T69" s="7" t="n">
        <f aca="false">IF(K69="","",ROUND(H69*(1-K69),2))</f>
        <v>263.5</v>
      </c>
      <c r="U69" s="7" t="n">
        <f aca="false">ROUND(L69*I69/1.18,2)</f>
        <v>893.22</v>
      </c>
      <c r="V69" s="7" t="n">
        <f aca="false">ROUND(M69-U69,2)</f>
        <v>0</v>
      </c>
      <c r="W69" s="8" t="str">
        <f aca="false">IF(ABS(V69)&gt;0.011,"CHECK","OK")</f>
        <v>OK</v>
      </c>
    </row>
    <row r="70" customFormat="false" ht="15" hidden="false" customHeight="false" outlineLevel="0" collapsed="false">
      <c r="A70" s="2" t="s">
        <v>95</v>
      </c>
      <c r="B70" s="2" t="s">
        <v>24</v>
      </c>
      <c r="C70" s="3" t="s">
        <v>96</v>
      </c>
      <c r="D70" s="2" t="n">
        <v>39</v>
      </c>
      <c r="E70" s="3" t="s">
        <v>173</v>
      </c>
      <c r="F70" s="3" t="s">
        <v>174</v>
      </c>
      <c r="G70" s="2" t="s">
        <v>45</v>
      </c>
      <c r="H70" s="4" t="n">
        <v>970</v>
      </c>
      <c r="I70" s="5" t="n">
        <v>1</v>
      </c>
      <c r="J70" s="2" t="s">
        <v>40</v>
      </c>
      <c r="K70" s="6" t="n">
        <v>0.38</v>
      </c>
      <c r="L70" s="4" t="n">
        <v>601.4</v>
      </c>
      <c r="M70" s="4" t="n">
        <v>509.66</v>
      </c>
      <c r="N70" s="6" t="n">
        <v>0.09</v>
      </c>
      <c r="O70" s="4" t="n">
        <v>45.87</v>
      </c>
      <c r="P70" s="6" t="n">
        <v>0.09</v>
      </c>
      <c r="Q70" s="4" t="n">
        <v>45.87</v>
      </c>
      <c r="R70" s="7" t="n">
        <f aca="false">M70+O70+P70</f>
        <v>555.62</v>
      </c>
      <c r="S70" s="7" t="n">
        <f aca="false">H70*I70</f>
        <v>970</v>
      </c>
      <c r="T70" s="7" t="n">
        <f aca="false">IF(K70="","",ROUND(H70*(1-K70),2))</f>
        <v>601.4</v>
      </c>
      <c r="U70" s="7" t="n">
        <f aca="false">ROUND(L70*I70/1.18,2)</f>
        <v>509.66</v>
      </c>
      <c r="V70" s="7" t="n">
        <f aca="false">ROUND(M70-U70,2)</f>
        <v>0</v>
      </c>
      <c r="W70" s="8" t="str">
        <f aca="false">IF(ABS(V70)&gt;0.011,"CHECK","OK")</f>
        <v>OK</v>
      </c>
    </row>
    <row r="71" customFormat="false" ht="15" hidden="false" customHeight="false" outlineLevel="0" collapsed="false">
      <c r="A71" s="2" t="s">
        <v>95</v>
      </c>
      <c r="B71" s="2" t="s">
        <v>24</v>
      </c>
      <c r="C71" s="3" t="s">
        <v>96</v>
      </c>
      <c r="D71" s="2" t="n">
        <v>40</v>
      </c>
      <c r="E71" s="3" t="s">
        <v>175</v>
      </c>
      <c r="F71" s="3" t="s">
        <v>176</v>
      </c>
      <c r="G71" s="2" t="s">
        <v>45</v>
      </c>
      <c r="H71" s="4" t="n">
        <v>730</v>
      </c>
      <c r="I71" s="5" t="n">
        <v>6</v>
      </c>
      <c r="J71" s="2" t="s">
        <v>29</v>
      </c>
      <c r="K71" s="6" t="n">
        <v>0.38</v>
      </c>
      <c r="L71" s="4" t="n">
        <v>452.6</v>
      </c>
      <c r="M71" s="4" t="n">
        <v>2301.36</v>
      </c>
      <c r="N71" s="6" t="n">
        <v>0.09</v>
      </c>
      <c r="O71" s="4" t="n">
        <v>207.12</v>
      </c>
      <c r="P71" s="6" t="n">
        <v>0.09</v>
      </c>
      <c r="Q71" s="4" t="n">
        <v>207.12</v>
      </c>
      <c r="R71" s="7" t="n">
        <f aca="false">M71+O71+P71</f>
        <v>2508.57</v>
      </c>
      <c r="S71" s="7" t="n">
        <f aca="false">H71*I71</f>
        <v>4380</v>
      </c>
      <c r="T71" s="7" t="n">
        <f aca="false">IF(K71="","",ROUND(H71*(1-K71),2))</f>
        <v>452.6</v>
      </c>
      <c r="U71" s="7" t="n">
        <f aca="false">ROUND(L71*I71/1.18,2)</f>
        <v>2301.36</v>
      </c>
      <c r="V71" s="7" t="n">
        <f aca="false">ROUND(M71-U71,2)</f>
        <v>0</v>
      </c>
      <c r="W71" s="8" t="str">
        <f aca="false">IF(ABS(V71)&gt;0.011,"CHECK","OK")</f>
        <v>OK</v>
      </c>
    </row>
    <row r="72" customFormat="false" ht="15" hidden="false" customHeight="false" outlineLevel="0" collapsed="false">
      <c r="A72" s="2" t="s">
        <v>95</v>
      </c>
      <c r="B72" s="2" t="s">
        <v>24</v>
      </c>
      <c r="C72" s="3" t="s">
        <v>96</v>
      </c>
      <c r="D72" s="2" t="n">
        <v>41</v>
      </c>
      <c r="E72" s="3" t="s">
        <v>177</v>
      </c>
      <c r="F72" s="3" t="s">
        <v>178</v>
      </c>
      <c r="G72" s="2" t="s">
        <v>45</v>
      </c>
      <c r="H72" s="4" t="n">
        <v>730</v>
      </c>
      <c r="I72" s="5" t="n">
        <v>3</v>
      </c>
      <c r="J72" s="2" t="s">
        <v>29</v>
      </c>
      <c r="K72" s="6" t="n">
        <v>0.38</v>
      </c>
      <c r="L72" s="4" t="n">
        <v>452.6</v>
      </c>
      <c r="M72" s="4" t="n">
        <v>1150.68</v>
      </c>
      <c r="N72" s="6" t="n">
        <v>0.09</v>
      </c>
      <c r="O72" s="4" t="n">
        <v>103.56</v>
      </c>
      <c r="P72" s="6" t="n">
        <v>0.09</v>
      </c>
      <c r="Q72" s="4" t="n">
        <v>103.56</v>
      </c>
      <c r="R72" s="7" t="n">
        <f aca="false">M72+O72+P72</f>
        <v>1254.33</v>
      </c>
      <c r="S72" s="7" t="n">
        <f aca="false">H72*I72</f>
        <v>2190</v>
      </c>
      <c r="T72" s="7" t="n">
        <f aca="false">IF(K72="","",ROUND(H72*(1-K72),2))</f>
        <v>452.6</v>
      </c>
      <c r="U72" s="7" t="n">
        <f aca="false">ROUND(L72*I72/1.18,2)</f>
        <v>1150.68</v>
      </c>
      <c r="V72" s="7" t="n">
        <f aca="false">ROUND(M72-U72,2)</f>
        <v>0</v>
      </c>
      <c r="W72" s="8" t="str">
        <f aca="false">IF(ABS(V72)&gt;0.011,"CHECK","OK")</f>
        <v>OK</v>
      </c>
    </row>
    <row r="73" customFormat="false" ht="15" hidden="false" customHeight="false" outlineLevel="0" collapsed="false">
      <c r="A73" s="2" t="s">
        <v>95</v>
      </c>
      <c r="B73" s="2" t="s">
        <v>24</v>
      </c>
      <c r="C73" s="3" t="s">
        <v>96</v>
      </c>
      <c r="D73" s="2" t="n">
        <v>42</v>
      </c>
      <c r="E73" s="3" t="s">
        <v>179</v>
      </c>
      <c r="F73" s="3" t="s">
        <v>180</v>
      </c>
      <c r="G73" s="2" t="s">
        <v>45</v>
      </c>
      <c r="H73" s="4" t="n">
        <v>730</v>
      </c>
      <c r="I73" s="5" t="n">
        <v>3</v>
      </c>
      <c r="J73" s="2" t="s">
        <v>29</v>
      </c>
      <c r="K73" s="6" t="n">
        <v>0.38</v>
      </c>
      <c r="L73" s="4" t="n">
        <v>452.6</v>
      </c>
      <c r="M73" s="4" t="n">
        <v>1150.68</v>
      </c>
      <c r="N73" s="6" t="n">
        <v>0.09</v>
      </c>
      <c r="O73" s="4" t="n">
        <v>103.56</v>
      </c>
      <c r="P73" s="6" t="n">
        <v>0.09</v>
      </c>
      <c r="Q73" s="4" t="n">
        <v>103.56</v>
      </c>
      <c r="R73" s="7" t="n">
        <f aca="false">M73+O73+P73</f>
        <v>1254.33</v>
      </c>
      <c r="S73" s="7" t="n">
        <f aca="false">H73*I73</f>
        <v>2190</v>
      </c>
      <c r="T73" s="7" t="n">
        <f aca="false">IF(K73="","",ROUND(H73*(1-K73),2))</f>
        <v>452.6</v>
      </c>
      <c r="U73" s="7" t="n">
        <f aca="false">ROUND(L73*I73/1.18,2)</f>
        <v>1150.68</v>
      </c>
      <c r="V73" s="7" t="n">
        <f aca="false">ROUND(M73-U73,2)</f>
        <v>0</v>
      </c>
      <c r="W73" s="8" t="str">
        <f aca="false">IF(ABS(V73)&gt;0.011,"CHECK","OK")</f>
        <v>OK</v>
      </c>
    </row>
    <row r="74" customFormat="false" ht="15" hidden="false" customHeight="false" outlineLevel="0" collapsed="false">
      <c r="A74" s="2" t="s">
        <v>95</v>
      </c>
      <c r="B74" s="2" t="s">
        <v>24</v>
      </c>
      <c r="C74" s="3" t="s">
        <v>96</v>
      </c>
      <c r="D74" s="2" t="n">
        <v>43</v>
      </c>
      <c r="E74" s="3" t="s">
        <v>181</v>
      </c>
      <c r="F74" s="3" t="s">
        <v>182</v>
      </c>
      <c r="G74" s="2" t="s">
        <v>45</v>
      </c>
      <c r="H74" s="4" t="n">
        <v>730</v>
      </c>
      <c r="I74" s="5" t="n">
        <v>3</v>
      </c>
      <c r="J74" s="2" t="s">
        <v>29</v>
      </c>
      <c r="K74" s="6" t="n">
        <v>0.38</v>
      </c>
      <c r="L74" s="4" t="n">
        <v>452.6</v>
      </c>
      <c r="M74" s="4" t="n">
        <v>1150.68</v>
      </c>
      <c r="N74" s="6" t="n">
        <v>0.09</v>
      </c>
      <c r="O74" s="4" t="n">
        <v>103.56</v>
      </c>
      <c r="P74" s="6" t="n">
        <v>0.09</v>
      </c>
      <c r="Q74" s="4" t="n">
        <v>103.56</v>
      </c>
      <c r="R74" s="7" t="n">
        <f aca="false">M74+O74+P74</f>
        <v>1254.33</v>
      </c>
      <c r="S74" s="7" t="n">
        <f aca="false">H74*I74</f>
        <v>2190</v>
      </c>
      <c r="T74" s="7" t="n">
        <f aca="false">IF(K74="","",ROUND(H74*(1-K74),2))</f>
        <v>452.6</v>
      </c>
      <c r="U74" s="7" t="n">
        <f aca="false">ROUND(L74*I74/1.18,2)</f>
        <v>1150.68</v>
      </c>
      <c r="V74" s="7" t="n">
        <f aca="false">ROUND(M74-U74,2)</f>
        <v>0</v>
      </c>
      <c r="W74" s="8" t="str">
        <f aca="false">IF(ABS(V74)&gt;0.011,"CHECK","OK")</f>
        <v>OK</v>
      </c>
    </row>
    <row r="75" customFormat="false" ht="15" hidden="false" customHeight="false" outlineLevel="0" collapsed="false">
      <c r="A75" s="2" t="s">
        <v>95</v>
      </c>
      <c r="B75" s="2" t="s">
        <v>24</v>
      </c>
      <c r="C75" s="3" t="s">
        <v>96</v>
      </c>
      <c r="D75" s="2" t="n">
        <v>44</v>
      </c>
      <c r="E75" s="3" t="s">
        <v>183</v>
      </c>
      <c r="F75" s="3" t="s">
        <v>184</v>
      </c>
      <c r="G75" s="2" t="s">
        <v>45</v>
      </c>
      <c r="H75" s="4" t="n">
        <v>705</v>
      </c>
      <c r="I75" s="5" t="n">
        <v>2</v>
      </c>
      <c r="J75" s="2" t="s">
        <v>40</v>
      </c>
      <c r="K75" s="6" t="n">
        <v>0.38</v>
      </c>
      <c r="L75" s="4" t="n">
        <v>437.1</v>
      </c>
      <c r="M75" s="4" t="n">
        <v>740.85</v>
      </c>
      <c r="N75" s="6" t="n">
        <v>0.09</v>
      </c>
      <c r="O75" s="4" t="n">
        <v>66.67</v>
      </c>
      <c r="P75" s="6" t="n">
        <v>0.09</v>
      </c>
      <c r="Q75" s="4" t="n">
        <v>66.67</v>
      </c>
      <c r="R75" s="7" t="n">
        <f aca="false">M75+O75+P75</f>
        <v>807.61</v>
      </c>
      <c r="S75" s="7" t="n">
        <f aca="false">H75*I75</f>
        <v>1410</v>
      </c>
      <c r="T75" s="7" t="n">
        <f aca="false">IF(K75="","",ROUND(H75*(1-K75),2))</f>
        <v>437.1</v>
      </c>
      <c r="U75" s="7" t="n">
        <f aca="false">ROUND(L75*I75/1.18,2)</f>
        <v>740.85</v>
      </c>
      <c r="V75" s="7" t="n">
        <f aca="false">ROUND(M75-U75,2)</f>
        <v>0</v>
      </c>
      <c r="W75" s="8" t="str">
        <f aca="false">IF(ABS(V75)&gt;0.011,"CHECK","OK")</f>
        <v>OK</v>
      </c>
    </row>
    <row r="76" customFormat="false" ht="15" hidden="false" customHeight="false" outlineLevel="0" collapsed="false">
      <c r="A76" s="2" t="s">
        <v>95</v>
      </c>
      <c r="B76" s="2" t="s">
        <v>24</v>
      </c>
      <c r="C76" s="3" t="s">
        <v>96</v>
      </c>
      <c r="D76" s="2" t="n">
        <v>45</v>
      </c>
      <c r="E76" s="3" t="s">
        <v>185</v>
      </c>
      <c r="F76" s="3" t="s">
        <v>186</v>
      </c>
      <c r="G76" s="2" t="s">
        <v>45</v>
      </c>
      <c r="H76" s="4" t="n">
        <v>705</v>
      </c>
      <c r="I76" s="5" t="n">
        <v>2</v>
      </c>
      <c r="J76" s="2" t="s">
        <v>40</v>
      </c>
      <c r="K76" s="6" t="n">
        <v>0.38</v>
      </c>
      <c r="L76" s="4" t="n">
        <v>437.1</v>
      </c>
      <c r="M76" s="4" t="n">
        <v>740.85</v>
      </c>
      <c r="N76" s="6" t="n">
        <v>0.09</v>
      </c>
      <c r="O76" s="4" t="n">
        <v>66.67</v>
      </c>
      <c r="P76" s="6" t="n">
        <v>0.09</v>
      </c>
      <c r="Q76" s="4" t="n">
        <v>66.67</v>
      </c>
      <c r="R76" s="7" t="n">
        <f aca="false">M76+O76+P76</f>
        <v>807.61</v>
      </c>
      <c r="S76" s="7" t="n">
        <f aca="false">H76*I76</f>
        <v>1410</v>
      </c>
      <c r="T76" s="7" t="n">
        <f aca="false">IF(K76="","",ROUND(H76*(1-K76),2))</f>
        <v>437.1</v>
      </c>
      <c r="U76" s="7" t="n">
        <f aca="false">ROUND(L76*I76/1.18,2)</f>
        <v>740.85</v>
      </c>
      <c r="V76" s="7" t="n">
        <f aca="false">ROUND(M76-U76,2)</f>
        <v>0</v>
      </c>
      <c r="W76" s="8" t="str">
        <f aca="false">IF(ABS(V76)&gt;0.011,"CHECK","OK")</f>
        <v>OK</v>
      </c>
    </row>
    <row r="77" customFormat="false" ht="15" hidden="false" customHeight="false" outlineLevel="0" collapsed="false">
      <c r="A77" s="2" t="s">
        <v>95</v>
      </c>
      <c r="B77" s="2" t="s">
        <v>24</v>
      </c>
      <c r="C77" s="3" t="s">
        <v>96</v>
      </c>
      <c r="D77" s="2" t="n">
        <v>46</v>
      </c>
      <c r="E77" s="3" t="s">
        <v>187</v>
      </c>
      <c r="F77" s="3" t="s">
        <v>188</v>
      </c>
      <c r="G77" s="2" t="s">
        <v>45</v>
      </c>
      <c r="H77" s="4" t="n">
        <v>705</v>
      </c>
      <c r="I77" s="5" t="n">
        <v>2</v>
      </c>
      <c r="J77" s="2" t="s">
        <v>40</v>
      </c>
      <c r="K77" s="6" t="n">
        <v>0.38</v>
      </c>
      <c r="L77" s="4" t="n">
        <v>437.1</v>
      </c>
      <c r="M77" s="4" t="n">
        <v>740.85</v>
      </c>
      <c r="N77" s="6" t="n">
        <v>0.09</v>
      </c>
      <c r="O77" s="4" t="n">
        <v>66.67</v>
      </c>
      <c r="P77" s="6" t="n">
        <v>0.09</v>
      </c>
      <c r="Q77" s="4" t="n">
        <v>66.67</v>
      </c>
      <c r="R77" s="7" t="n">
        <f aca="false">M77+O77+P77</f>
        <v>807.61</v>
      </c>
      <c r="S77" s="7" t="n">
        <f aca="false">H77*I77</f>
        <v>1410</v>
      </c>
      <c r="T77" s="7" t="n">
        <f aca="false">IF(K77="","",ROUND(H77*(1-K77),2))</f>
        <v>437.1</v>
      </c>
      <c r="U77" s="7" t="n">
        <f aca="false">ROUND(L77*I77/1.18,2)</f>
        <v>740.85</v>
      </c>
      <c r="V77" s="7" t="n">
        <f aca="false">ROUND(M77-U77,2)</f>
        <v>0</v>
      </c>
      <c r="W77" s="8" t="str">
        <f aca="false">IF(ABS(V77)&gt;0.011,"CHECK","OK")</f>
        <v>OK</v>
      </c>
    </row>
    <row r="78" customFormat="false" ht="15" hidden="false" customHeight="false" outlineLevel="0" collapsed="false">
      <c r="A78" s="2" t="s">
        <v>95</v>
      </c>
      <c r="B78" s="2" t="s">
        <v>24</v>
      </c>
      <c r="C78" s="3" t="s">
        <v>96</v>
      </c>
      <c r="D78" s="2" t="n">
        <v>47</v>
      </c>
      <c r="E78" s="3" t="s">
        <v>189</v>
      </c>
      <c r="F78" s="3" t="s">
        <v>190</v>
      </c>
      <c r="G78" s="2" t="s">
        <v>45</v>
      </c>
      <c r="H78" s="4" t="n">
        <v>970</v>
      </c>
      <c r="I78" s="5" t="n">
        <v>2</v>
      </c>
      <c r="J78" s="2" t="s">
        <v>40</v>
      </c>
      <c r="K78" s="6" t="n">
        <v>0.38</v>
      </c>
      <c r="L78" s="4" t="n">
        <v>601.4</v>
      </c>
      <c r="M78" s="4" t="n">
        <v>1019.32</v>
      </c>
      <c r="N78" s="6" t="n">
        <v>0.09</v>
      </c>
      <c r="O78" s="4" t="n">
        <v>91.74</v>
      </c>
      <c r="P78" s="6" t="n">
        <v>0.09</v>
      </c>
      <c r="Q78" s="4" t="n">
        <v>91.74</v>
      </c>
      <c r="R78" s="7" t="n">
        <f aca="false">M78+O78+P78</f>
        <v>1111.15</v>
      </c>
      <c r="S78" s="7" t="n">
        <f aca="false">H78*I78</f>
        <v>1940</v>
      </c>
      <c r="T78" s="7" t="n">
        <f aca="false">IF(K78="","",ROUND(H78*(1-K78),2))</f>
        <v>601.4</v>
      </c>
      <c r="U78" s="7" t="n">
        <f aca="false">ROUND(L78*I78/1.18,2)</f>
        <v>1019.32</v>
      </c>
      <c r="V78" s="7" t="n">
        <f aca="false">ROUND(M78-U78,2)</f>
        <v>0</v>
      </c>
      <c r="W78" s="8" t="str">
        <f aca="false">IF(ABS(V78)&gt;0.011,"CHECK","OK")</f>
        <v>OK</v>
      </c>
    </row>
    <row r="79" customFormat="false" ht="15" hidden="false" customHeight="false" outlineLevel="0" collapsed="false">
      <c r="A79" s="2" t="s">
        <v>95</v>
      </c>
      <c r="B79" s="2" t="s">
        <v>24</v>
      </c>
      <c r="C79" s="3" t="s">
        <v>96</v>
      </c>
      <c r="D79" s="2" t="n">
        <v>48</v>
      </c>
      <c r="E79" s="3" t="s">
        <v>191</v>
      </c>
      <c r="F79" s="3" t="s">
        <v>192</v>
      </c>
      <c r="G79" s="2" t="s">
        <v>45</v>
      </c>
      <c r="H79" s="4" t="n">
        <v>970</v>
      </c>
      <c r="I79" s="5" t="n">
        <v>2</v>
      </c>
      <c r="J79" s="2" t="s">
        <v>40</v>
      </c>
      <c r="K79" s="6" t="n">
        <v>0.38</v>
      </c>
      <c r="L79" s="4" t="n">
        <v>601.4</v>
      </c>
      <c r="M79" s="4" t="n">
        <v>1019.32</v>
      </c>
      <c r="N79" s="6" t="n">
        <v>0.09</v>
      </c>
      <c r="O79" s="4" t="n">
        <v>91.74</v>
      </c>
      <c r="P79" s="6" t="n">
        <v>0.09</v>
      </c>
      <c r="Q79" s="4" t="n">
        <v>91.74</v>
      </c>
      <c r="R79" s="7" t="n">
        <f aca="false">M79+O79+P79</f>
        <v>1111.15</v>
      </c>
      <c r="S79" s="7" t="n">
        <f aca="false">H79*I79</f>
        <v>1940</v>
      </c>
      <c r="T79" s="7" t="n">
        <f aca="false">IF(K79="","",ROUND(H79*(1-K79),2))</f>
        <v>601.4</v>
      </c>
      <c r="U79" s="7" t="n">
        <f aca="false">ROUND(L79*I79/1.18,2)</f>
        <v>1019.32</v>
      </c>
      <c r="V79" s="7" t="n">
        <f aca="false">ROUND(M79-U79,2)</f>
        <v>0</v>
      </c>
      <c r="W79" s="8" t="str">
        <f aca="false">IF(ABS(V79)&gt;0.011,"CHECK","OK")</f>
        <v>OK</v>
      </c>
    </row>
    <row r="80" customFormat="false" ht="15" hidden="false" customHeight="false" outlineLevel="0" collapsed="false">
      <c r="A80" s="2" t="s">
        <v>95</v>
      </c>
      <c r="B80" s="2" t="s">
        <v>24</v>
      </c>
      <c r="C80" s="3" t="s">
        <v>96</v>
      </c>
      <c r="D80" s="2" t="n">
        <v>49</v>
      </c>
      <c r="E80" s="3" t="s">
        <v>193</v>
      </c>
      <c r="F80" s="3" t="s">
        <v>194</v>
      </c>
      <c r="G80" s="2" t="s">
        <v>45</v>
      </c>
      <c r="H80" s="4" t="n">
        <v>970</v>
      </c>
      <c r="I80" s="5" t="n">
        <v>2</v>
      </c>
      <c r="J80" s="2" t="s">
        <v>29</v>
      </c>
      <c r="K80" s="6" t="n">
        <v>0.38</v>
      </c>
      <c r="L80" s="4" t="n">
        <v>601.4</v>
      </c>
      <c r="M80" s="4" t="n">
        <v>1019.32</v>
      </c>
      <c r="N80" s="6" t="n">
        <v>0.09</v>
      </c>
      <c r="O80" s="4" t="n">
        <v>91.74</v>
      </c>
      <c r="P80" s="6" t="n">
        <v>0.09</v>
      </c>
      <c r="Q80" s="4" t="n">
        <v>91.74</v>
      </c>
      <c r="R80" s="7" t="n">
        <f aca="false">M80+O80+P80</f>
        <v>1111.15</v>
      </c>
      <c r="S80" s="7" t="n">
        <f aca="false">H80*I80</f>
        <v>1940</v>
      </c>
      <c r="T80" s="7" t="n">
        <f aca="false">IF(K80="","",ROUND(H80*(1-K80),2))</f>
        <v>601.4</v>
      </c>
      <c r="U80" s="7" t="n">
        <f aca="false">ROUND(L80*I80/1.18,2)</f>
        <v>1019.32</v>
      </c>
      <c r="V80" s="7" t="n">
        <f aca="false">ROUND(M80-U80,2)</f>
        <v>0</v>
      </c>
      <c r="W80" s="8" t="str">
        <f aca="false">IF(ABS(V80)&gt;0.011,"CHECK","OK")</f>
        <v>OK</v>
      </c>
    </row>
    <row r="81" customFormat="false" ht="15" hidden="false" customHeight="false" outlineLevel="0" collapsed="false">
      <c r="A81" s="2" t="s">
        <v>95</v>
      </c>
      <c r="B81" s="2" t="s">
        <v>24</v>
      </c>
      <c r="C81" s="3" t="s">
        <v>96</v>
      </c>
      <c r="D81" s="2" t="n">
        <v>50</v>
      </c>
      <c r="E81" s="3" t="s">
        <v>195</v>
      </c>
      <c r="F81" s="3" t="s">
        <v>196</v>
      </c>
      <c r="G81" s="2" t="s">
        <v>45</v>
      </c>
      <c r="H81" s="4" t="n">
        <v>970</v>
      </c>
      <c r="I81" s="5" t="n">
        <v>2</v>
      </c>
      <c r="J81" s="2" t="s">
        <v>40</v>
      </c>
      <c r="K81" s="6" t="n">
        <v>0.38</v>
      </c>
      <c r="L81" s="4" t="n">
        <v>601.4</v>
      </c>
      <c r="M81" s="4" t="n">
        <v>1019.32</v>
      </c>
      <c r="N81" s="6" t="n">
        <v>0.09</v>
      </c>
      <c r="O81" s="4" t="n">
        <v>91.74</v>
      </c>
      <c r="P81" s="6" t="n">
        <v>0.09</v>
      </c>
      <c r="Q81" s="4" t="n">
        <v>91.74</v>
      </c>
      <c r="R81" s="7" t="n">
        <f aca="false">M81+O81+P81</f>
        <v>1111.15</v>
      </c>
      <c r="S81" s="7" t="n">
        <f aca="false">H81*I81</f>
        <v>1940</v>
      </c>
      <c r="T81" s="7" t="n">
        <f aca="false">IF(K81="","",ROUND(H81*(1-K81),2))</f>
        <v>601.4</v>
      </c>
      <c r="U81" s="7" t="n">
        <f aca="false">ROUND(L81*I81/1.18,2)</f>
        <v>1019.32</v>
      </c>
      <c r="V81" s="7" t="n">
        <f aca="false">ROUND(M81-U81,2)</f>
        <v>0</v>
      </c>
      <c r="W81" s="8" t="str">
        <f aca="false">IF(ABS(V81)&gt;0.011,"CHECK","OK")</f>
        <v>OK</v>
      </c>
    </row>
    <row r="82" customFormat="false" ht="15" hidden="false" customHeight="false" outlineLevel="0" collapsed="false">
      <c r="A82" s="2" t="s">
        <v>95</v>
      </c>
      <c r="B82" s="2" t="s">
        <v>24</v>
      </c>
      <c r="C82" s="3" t="s">
        <v>96</v>
      </c>
      <c r="D82" s="2" t="n">
        <v>51</v>
      </c>
      <c r="E82" s="3" t="s">
        <v>197</v>
      </c>
      <c r="F82" s="3" t="s">
        <v>198</v>
      </c>
      <c r="G82" s="2" t="s">
        <v>45</v>
      </c>
      <c r="H82" s="4" t="n">
        <v>835</v>
      </c>
      <c r="I82" s="5" t="n">
        <v>2</v>
      </c>
      <c r="J82" s="2" t="s">
        <v>29</v>
      </c>
      <c r="K82" s="6" t="n">
        <v>0.38</v>
      </c>
      <c r="L82" s="4" t="n">
        <v>517.7</v>
      </c>
      <c r="M82" s="4" t="n">
        <v>877.46</v>
      </c>
      <c r="N82" s="6" t="n">
        <v>0.09</v>
      </c>
      <c r="O82" s="4" t="n">
        <v>78.97</v>
      </c>
      <c r="P82" s="6" t="n">
        <v>0.09</v>
      </c>
      <c r="Q82" s="4" t="n">
        <v>78.97</v>
      </c>
      <c r="R82" s="7" t="n">
        <f aca="false">M82+O82+P82</f>
        <v>956.52</v>
      </c>
      <c r="S82" s="7" t="n">
        <f aca="false">H82*I82</f>
        <v>1670</v>
      </c>
      <c r="T82" s="7" t="n">
        <f aca="false">IF(K82="","",ROUND(H82*(1-K82),2))</f>
        <v>517.7</v>
      </c>
      <c r="U82" s="7" t="n">
        <f aca="false">ROUND(L82*I82/1.18,2)</f>
        <v>877.46</v>
      </c>
      <c r="V82" s="7" t="n">
        <f aca="false">ROUND(M82-U82,2)</f>
        <v>0</v>
      </c>
      <c r="W82" s="8" t="str">
        <f aca="false">IF(ABS(V82)&gt;0.011,"CHECK","OK")</f>
        <v>OK</v>
      </c>
    </row>
    <row r="83" customFormat="false" ht="15" hidden="false" customHeight="false" outlineLevel="0" collapsed="false">
      <c r="A83" s="2" t="s">
        <v>95</v>
      </c>
      <c r="B83" s="2" t="s">
        <v>24</v>
      </c>
      <c r="C83" s="3" t="s">
        <v>96</v>
      </c>
      <c r="D83" s="2" t="n">
        <v>52</v>
      </c>
      <c r="E83" s="3" t="s">
        <v>199</v>
      </c>
      <c r="F83" s="3" t="s">
        <v>200</v>
      </c>
      <c r="G83" s="2" t="s">
        <v>45</v>
      </c>
      <c r="H83" s="4" t="n">
        <v>420</v>
      </c>
      <c r="I83" s="5" t="n">
        <v>4</v>
      </c>
      <c r="J83" s="2" t="s">
        <v>29</v>
      </c>
      <c r="K83" s="6" t="n">
        <v>0.38</v>
      </c>
      <c r="L83" s="4" t="n">
        <v>260.4</v>
      </c>
      <c r="M83" s="4" t="n">
        <v>882.71</v>
      </c>
      <c r="N83" s="6" t="n">
        <v>0.09</v>
      </c>
      <c r="O83" s="4" t="n">
        <v>79.44</v>
      </c>
      <c r="P83" s="6" t="n">
        <v>0.09</v>
      </c>
      <c r="Q83" s="4" t="n">
        <v>79.44</v>
      </c>
      <c r="R83" s="7" t="n">
        <f aca="false">M83+O83+P83</f>
        <v>962.24</v>
      </c>
      <c r="S83" s="7" t="n">
        <f aca="false">H83*I83</f>
        <v>1680</v>
      </c>
      <c r="T83" s="7" t="n">
        <f aca="false">IF(K83="","",ROUND(H83*(1-K83),2))</f>
        <v>260.4</v>
      </c>
      <c r="U83" s="7" t="n">
        <f aca="false">ROUND(L83*I83/1.18,2)</f>
        <v>882.71</v>
      </c>
      <c r="V83" s="7" t="n">
        <f aca="false">ROUND(M83-U83,2)</f>
        <v>0</v>
      </c>
      <c r="W83" s="8" t="str">
        <f aca="false">IF(ABS(V83)&gt;0.011,"CHECK","OK")</f>
        <v>OK</v>
      </c>
    </row>
    <row r="84" customFormat="false" ht="15" hidden="false" customHeight="false" outlineLevel="0" collapsed="false">
      <c r="A84" s="2" t="s">
        <v>95</v>
      </c>
      <c r="B84" s="2" t="s">
        <v>24</v>
      </c>
      <c r="C84" s="3" t="s">
        <v>96</v>
      </c>
      <c r="D84" s="2" t="n">
        <v>53</v>
      </c>
      <c r="E84" s="3" t="s">
        <v>201</v>
      </c>
      <c r="F84" s="3" t="s">
        <v>202</v>
      </c>
      <c r="G84" s="2" t="s">
        <v>45</v>
      </c>
      <c r="H84" s="4" t="n">
        <v>630</v>
      </c>
      <c r="I84" s="5" t="n">
        <v>2</v>
      </c>
      <c r="J84" s="2" t="s">
        <v>29</v>
      </c>
      <c r="K84" s="6" t="n">
        <v>0.38</v>
      </c>
      <c r="L84" s="4" t="n">
        <v>390.6</v>
      </c>
      <c r="M84" s="4" t="n">
        <v>662.03</v>
      </c>
      <c r="N84" s="6" t="n">
        <v>0.09</v>
      </c>
      <c r="O84" s="4" t="n">
        <v>59.58</v>
      </c>
      <c r="P84" s="6" t="n">
        <v>0.09</v>
      </c>
      <c r="Q84" s="4" t="n">
        <v>59.58</v>
      </c>
      <c r="R84" s="7" t="n">
        <f aca="false">M84+O84+P84</f>
        <v>721.7</v>
      </c>
      <c r="S84" s="7" t="n">
        <f aca="false">H84*I84</f>
        <v>1260</v>
      </c>
      <c r="T84" s="7" t="n">
        <f aca="false">IF(K84="","",ROUND(H84*(1-K84),2))</f>
        <v>390.6</v>
      </c>
      <c r="U84" s="7" t="n">
        <f aca="false">ROUND(L84*I84/1.18,2)</f>
        <v>662.03</v>
      </c>
      <c r="V84" s="7" t="n">
        <f aca="false">ROUND(M84-U84,2)</f>
        <v>0</v>
      </c>
      <c r="W84" s="8" t="str">
        <f aca="false">IF(ABS(V84)&gt;0.011,"CHECK","OK")</f>
        <v>OK</v>
      </c>
    </row>
    <row r="85" customFormat="false" ht="15" hidden="false" customHeight="false" outlineLevel="0" collapsed="false">
      <c r="A85" s="2" t="s">
        <v>95</v>
      </c>
      <c r="B85" s="2" t="s">
        <v>24</v>
      </c>
      <c r="C85" s="3" t="s">
        <v>96</v>
      </c>
      <c r="D85" s="2" t="n">
        <v>54</v>
      </c>
      <c r="E85" s="3" t="s">
        <v>203</v>
      </c>
      <c r="F85" s="3" t="s">
        <v>204</v>
      </c>
      <c r="G85" s="2" t="s">
        <v>45</v>
      </c>
      <c r="H85" s="4" t="n">
        <v>730</v>
      </c>
      <c r="I85" s="5" t="n">
        <v>2</v>
      </c>
      <c r="J85" s="2" t="s">
        <v>29</v>
      </c>
      <c r="K85" s="6" t="n">
        <v>0.38</v>
      </c>
      <c r="L85" s="4" t="n">
        <v>452.6</v>
      </c>
      <c r="M85" s="4" t="n">
        <v>767.12</v>
      </c>
      <c r="N85" s="6" t="n">
        <v>0.09</v>
      </c>
      <c r="O85" s="4" t="n">
        <v>69.04</v>
      </c>
      <c r="P85" s="6" t="n">
        <v>0.09</v>
      </c>
      <c r="Q85" s="4" t="n">
        <v>69.04</v>
      </c>
      <c r="R85" s="7" t="n">
        <f aca="false">M85+O85+P85</f>
        <v>836.25</v>
      </c>
      <c r="S85" s="7" t="n">
        <f aca="false">H85*I85</f>
        <v>1460</v>
      </c>
      <c r="T85" s="7" t="n">
        <f aca="false">IF(K85="","",ROUND(H85*(1-K85),2))</f>
        <v>452.6</v>
      </c>
      <c r="U85" s="7" t="n">
        <f aca="false">ROUND(L85*I85/1.18,2)</f>
        <v>767.12</v>
      </c>
      <c r="V85" s="7" t="n">
        <f aca="false">ROUND(M85-U85,2)</f>
        <v>0</v>
      </c>
      <c r="W85" s="8" t="str">
        <f aca="false">IF(ABS(V85)&gt;0.011,"CHECK","OK")</f>
        <v>OK</v>
      </c>
    </row>
    <row r="86" customFormat="false" ht="15" hidden="false" customHeight="false" outlineLevel="0" collapsed="false">
      <c r="A86" s="2" t="s">
        <v>95</v>
      </c>
      <c r="B86" s="2" t="s">
        <v>24</v>
      </c>
      <c r="C86" s="3" t="s">
        <v>96</v>
      </c>
      <c r="D86" s="2" t="n">
        <v>55</v>
      </c>
      <c r="E86" s="3" t="s">
        <v>205</v>
      </c>
      <c r="F86" s="3" t="s">
        <v>206</v>
      </c>
      <c r="G86" s="2" t="s">
        <v>45</v>
      </c>
      <c r="H86" s="4" t="n">
        <v>730</v>
      </c>
      <c r="I86" s="5" t="n">
        <v>2</v>
      </c>
      <c r="J86" s="2" t="s">
        <v>29</v>
      </c>
      <c r="K86" s="6" t="n">
        <v>0.38</v>
      </c>
      <c r="L86" s="4" t="n">
        <v>452.6</v>
      </c>
      <c r="M86" s="4" t="n">
        <v>767.12</v>
      </c>
      <c r="N86" s="6" t="n">
        <v>0.09</v>
      </c>
      <c r="O86" s="4" t="n">
        <v>69.04</v>
      </c>
      <c r="P86" s="6" t="n">
        <v>0.09</v>
      </c>
      <c r="Q86" s="4" t="n">
        <v>69.04</v>
      </c>
      <c r="R86" s="7" t="n">
        <f aca="false">M86+O86+P86</f>
        <v>836.25</v>
      </c>
      <c r="S86" s="7" t="n">
        <f aca="false">H86*I86</f>
        <v>1460</v>
      </c>
      <c r="T86" s="7" t="n">
        <f aca="false">IF(K86="","",ROUND(H86*(1-K86),2))</f>
        <v>452.6</v>
      </c>
      <c r="U86" s="7" t="n">
        <f aca="false">ROUND(L86*I86/1.18,2)</f>
        <v>767.12</v>
      </c>
      <c r="V86" s="7" t="n">
        <f aca="false">ROUND(M86-U86,2)</f>
        <v>0</v>
      </c>
      <c r="W86" s="8" t="str">
        <f aca="false">IF(ABS(V86)&gt;0.011,"CHECK","OK")</f>
        <v>OK</v>
      </c>
    </row>
    <row r="87" customFormat="false" ht="15" hidden="false" customHeight="false" outlineLevel="0" collapsed="false">
      <c r="A87" s="2" t="s">
        <v>95</v>
      </c>
      <c r="B87" s="2" t="s">
        <v>24</v>
      </c>
      <c r="C87" s="3" t="s">
        <v>96</v>
      </c>
      <c r="D87" s="2" t="n">
        <v>56</v>
      </c>
      <c r="E87" s="3" t="s">
        <v>207</v>
      </c>
      <c r="F87" s="3" t="s">
        <v>208</v>
      </c>
      <c r="G87" s="2" t="s">
        <v>45</v>
      </c>
      <c r="H87" s="4" t="n">
        <v>730</v>
      </c>
      <c r="I87" s="5" t="n">
        <v>4</v>
      </c>
      <c r="J87" s="2" t="s">
        <v>29</v>
      </c>
      <c r="K87" s="6" t="n">
        <v>0.38</v>
      </c>
      <c r="L87" s="4" t="n">
        <v>452.6</v>
      </c>
      <c r="M87" s="4" t="n">
        <v>1534.24</v>
      </c>
      <c r="N87" s="6" t="n">
        <v>0.09</v>
      </c>
      <c r="O87" s="4" t="n">
        <v>138.08</v>
      </c>
      <c r="P87" s="6" t="n">
        <v>0.09</v>
      </c>
      <c r="Q87" s="4" t="n">
        <v>138.08</v>
      </c>
      <c r="R87" s="7" t="n">
        <f aca="false">M87+O87+P87</f>
        <v>1672.41</v>
      </c>
      <c r="S87" s="7" t="n">
        <f aca="false">H87*I87</f>
        <v>2920</v>
      </c>
      <c r="T87" s="7" t="n">
        <f aca="false">IF(K87="","",ROUND(H87*(1-K87),2))</f>
        <v>452.6</v>
      </c>
      <c r="U87" s="7" t="n">
        <f aca="false">ROUND(L87*I87/1.18,2)</f>
        <v>1534.24</v>
      </c>
      <c r="V87" s="7" t="n">
        <f aca="false">ROUND(M87-U87,2)</f>
        <v>0</v>
      </c>
      <c r="W87" s="8" t="str">
        <f aca="false">IF(ABS(V87)&gt;0.011,"CHECK","OK")</f>
        <v>OK</v>
      </c>
    </row>
    <row r="88" customFormat="false" ht="15" hidden="false" customHeight="false" outlineLevel="0" collapsed="false">
      <c r="A88" s="2" t="s">
        <v>95</v>
      </c>
      <c r="B88" s="2" t="s">
        <v>24</v>
      </c>
      <c r="C88" s="3" t="s">
        <v>96</v>
      </c>
      <c r="D88" s="2" t="n">
        <v>57</v>
      </c>
      <c r="E88" s="3" t="s">
        <v>209</v>
      </c>
      <c r="F88" s="3" t="s">
        <v>210</v>
      </c>
      <c r="G88" s="2" t="s">
        <v>45</v>
      </c>
      <c r="H88" s="4" t="n">
        <v>730</v>
      </c>
      <c r="I88" s="5" t="n">
        <v>4</v>
      </c>
      <c r="J88" s="2" t="s">
        <v>29</v>
      </c>
      <c r="K88" s="6" t="n">
        <v>0.38</v>
      </c>
      <c r="L88" s="4" t="n">
        <v>452.6</v>
      </c>
      <c r="M88" s="4" t="n">
        <v>1534.24</v>
      </c>
      <c r="N88" s="6" t="n">
        <v>0.09</v>
      </c>
      <c r="O88" s="4" t="n">
        <v>138.08</v>
      </c>
      <c r="P88" s="6" t="n">
        <v>0.09</v>
      </c>
      <c r="Q88" s="4" t="n">
        <v>138.08</v>
      </c>
      <c r="R88" s="7" t="n">
        <f aca="false">M88+O88+P88</f>
        <v>1672.41</v>
      </c>
      <c r="S88" s="7" t="n">
        <f aca="false">H88*I88</f>
        <v>2920</v>
      </c>
      <c r="T88" s="7" t="n">
        <f aca="false">IF(K88="","",ROUND(H88*(1-K88),2))</f>
        <v>452.6</v>
      </c>
      <c r="U88" s="7" t="n">
        <f aca="false">ROUND(L88*I88/1.18,2)</f>
        <v>1534.24</v>
      </c>
      <c r="V88" s="7" t="n">
        <f aca="false">ROUND(M88-U88,2)</f>
        <v>0</v>
      </c>
      <c r="W88" s="8" t="str">
        <f aca="false">IF(ABS(V88)&gt;0.011,"CHECK","OK")</f>
        <v>OK</v>
      </c>
    </row>
    <row r="89" customFormat="false" ht="15" hidden="false" customHeight="false" outlineLevel="0" collapsed="false">
      <c r="A89" s="2" t="s">
        <v>95</v>
      </c>
      <c r="B89" s="2" t="s">
        <v>24</v>
      </c>
      <c r="C89" s="3" t="s">
        <v>96</v>
      </c>
      <c r="D89" s="2" t="n">
        <v>58</v>
      </c>
      <c r="E89" s="3" t="s">
        <v>211</v>
      </c>
      <c r="F89" s="3" t="s">
        <v>212</v>
      </c>
      <c r="G89" s="2" t="s">
        <v>45</v>
      </c>
      <c r="H89" s="4" t="n">
        <v>445</v>
      </c>
      <c r="I89" s="5" t="n">
        <v>5</v>
      </c>
      <c r="J89" s="2" t="s">
        <v>29</v>
      </c>
      <c r="K89" s="6" t="n">
        <v>0.38</v>
      </c>
      <c r="L89" s="4" t="n">
        <v>275.9</v>
      </c>
      <c r="M89" s="4" t="n">
        <v>1169.07</v>
      </c>
      <c r="N89" s="6" t="n">
        <v>0.09</v>
      </c>
      <c r="O89" s="4" t="n">
        <v>105.21</v>
      </c>
      <c r="P89" s="6" t="n">
        <v>0.09</v>
      </c>
      <c r="Q89" s="4" t="n">
        <v>105.21</v>
      </c>
      <c r="R89" s="7" t="n">
        <f aca="false">M89+O89+P89</f>
        <v>1274.37</v>
      </c>
      <c r="S89" s="7" t="n">
        <f aca="false">H89*I89</f>
        <v>2225</v>
      </c>
      <c r="T89" s="7" t="n">
        <f aca="false">IF(K89="","",ROUND(H89*(1-K89),2))</f>
        <v>275.9</v>
      </c>
      <c r="U89" s="7" t="n">
        <f aca="false">ROUND(L89*I89/1.18,2)</f>
        <v>1169.07</v>
      </c>
      <c r="V89" s="7" t="n">
        <f aca="false">ROUND(M89-U89,2)</f>
        <v>0</v>
      </c>
      <c r="W89" s="8" t="str">
        <f aca="false">IF(ABS(V89)&gt;0.011,"CHECK","OK")</f>
        <v>OK</v>
      </c>
    </row>
    <row r="90" customFormat="false" ht="15" hidden="false" customHeight="false" outlineLevel="0" collapsed="false">
      <c r="A90" s="2" t="s">
        <v>95</v>
      </c>
      <c r="B90" s="2" t="s">
        <v>24</v>
      </c>
      <c r="C90" s="3" t="s">
        <v>96</v>
      </c>
      <c r="D90" s="2" t="n">
        <v>59</v>
      </c>
      <c r="E90" s="3" t="s">
        <v>213</v>
      </c>
      <c r="F90" s="3" t="s">
        <v>214</v>
      </c>
      <c r="G90" s="2" t="s">
        <v>45</v>
      </c>
      <c r="H90" s="4" t="n">
        <v>445</v>
      </c>
      <c r="I90" s="5" t="n">
        <v>5</v>
      </c>
      <c r="J90" s="2" t="s">
        <v>29</v>
      </c>
      <c r="K90" s="6" t="n">
        <v>0.38</v>
      </c>
      <c r="L90" s="4" t="n">
        <v>275.9</v>
      </c>
      <c r="M90" s="4" t="n">
        <v>1169.07</v>
      </c>
      <c r="N90" s="6" t="n">
        <v>0.09</v>
      </c>
      <c r="O90" s="4" t="n">
        <v>105.21</v>
      </c>
      <c r="P90" s="6" t="n">
        <v>0.09</v>
      </c>
      <c r="Q90" s="4" t="n">
        <v>105.21</v>
      </c>
      <c r="R90" s="7" t="n">
        <f aca="false">M90+O90+P90</f>
        <v>1274.37</v>
      </c>
      <c r="S90" s="7" t="n">
        <f aca="false">H90*I90</f>
        <v>2225</v>
      </c>
      <c r="T90" s="7" t="n">
        <f aca="false">IF(K90="","",ROUND(H90*(1-K90),2))</f>
        <v>275.9</v>
      </c>
      <c r="U90" s="7" t="n">
        <f aca="false">ROUND(L90*I90/1.18,2)</f>
        <v>1169.07</v>
      </c>
      <c r="V90" s="7" t="n">
        <f aca="false">ROUND(M90-U90,2)</f>
        <v>0</v>
      </c>
      <c r="W90" s="8" t="str">
        <f aca="false">IF(ABS(V90)&gt;0.011,"CHECK","OK")</f>
        <v>OK</v>
      </c>
    </row>
    <row r="91" customFormat="false" ht="15" hidden="false" customHeight="false" outlineLevel="0" collapsed="false">
      <c r="A91" s="2" t="s">
        <v>95</v>
      </c>
      <c r="B91" s="2" t="s">
        <v>24</v>
      </c>
      <c r="C91" s="3" t="s">
        <v>96</v>
      </c>
      <c r="D91" s="2" t="n">
        <v>60</v>
      </c>
      <c r="E91" s="3" t="s">
        <v>215</v>
      </c>
      <c r="F91" s="3" t="s">
        <v>216</v>
      </c>
      <c r="G91" s="2" t="s">
        <v>45</v>
      </c>
      <c r="H91" s="4" t="n">
        <v>505</v>
      </c>
      <c r="I91" s="5" t="n">
        <v>2</v>
      </c>
      <c r="J91" s="2" t="s">
        <v>40</v>
      </c>
      <c r="K91" s="6" t="n">
        <v>0.38</v>
      </c>
      <c r="L91" s="4" t="n">
        <v>313.1</v>
      </c>
      <c r="M91" s="4" t="n">
        <v>530.68</v>
      </c>
      <c r="N91" s="6" t="n">
        <v>0.09</v>
      </c>
      <c r="O91" s="4" t="n">
        <v>47.76</v>
      </c>
      <c r="P91" s="6" t="n">
        <v>0.09</v>
      </c>
      <c r="Q91" s="4" t="n">
        <v>47.76</v>
      </c>
      <c r="R91" s="7" t="n">
        <f aca="false">M91+O91+P91</f>
        <v>578.53</v>
      </c>
      <c r="S91" s="7" t="n">
        <f aca="false">H91*I91</f>
        <v>1010</v>
      </c>
      <c r="T91" s="7" t="n">
        <f aca="false">IF(K91="","",ROUND(H91*(1-K91),2))</f>
        <v>313.1</v>
      </c>
      <c r="U91" s="7" t="n">
        <f aca="false">ROUND(L91*I91/1.18,2)</f>
        <v>530.68</v>
      </c>
      <c r="V91" s="7" t="n">
        <f aca="false">ROUND(M91-U91,2)</f>
        <v>0</v>
      </c>
      <c r="W91" s="8" t="str">
        <f aca="false">IF(ABS(V91)&gt;0.011,"CHECK","OK")</f>
        <v>OK</v>
      </c>
    </row>
    <row r="92" customFormat="false" ht="15" hidden="false" customHeight="false" outlineLevel="0" collapsed="false">
      <c r="A92" s="2" t="s">
        <v>95</v>
      </c>
      <c r="B92" s="2" t="s">
        <v>24</v>
      </c>
      <c r="C92" s="3" t="s">
        <v>96</v>
      </c>
      <c r="D92" s="2" t="n">
        <v>61</v>
      </c>
      <c r="E92" s="3" t="s">
        <v>217</v>
      </c>
      <c r="F92" s="3" t="s">
        <v>218</v>
      </c>
      <c r="G92" s="2" t="s">
        <v>45</v>
      </c>
      <c r="H92" s="4" t="n">
        <v>505</v>
      </c>
      <c r="I92" s="5" t="n">
        <v>2</v>
      </c>
      <c r="J92" s="2" t="s">
        <v>40</v>
      </c>
      <c r="K92" s="6" t="n">
        <v>0.38</v>
      </c>
      <c r="L92" s="4" t="n">
        <v>313.1</v>
      </c>
      <c r="M92" s="4" t="n">
        <v>530.68</v>
      </c>
      <c r="N92" s="6" t="n">
        <v>0.09</v>
      </c>
      <c r="O92" s="4" t="n">
        <v>47.76</v>
      </c>
      <c r="P92" s="6" t="n">
        <v>0.09</v>
      </c>
      <c r="Q92" s="4" t="n">
        <v>47.76</v>
      </c>
      <c r="R92" s="7" t="n">
        <f aca="false">M92+O92+P92</f>
        <v>578.53</v>
      </c>
      <c r="S92" s="7" t="n">
        <f aca="false">H92*I92</f>
        <v>1010</v>
      </c>
      <c r="T92" s="7" t="n">
        <f aca="false">IF(K92="","",ROUND(H92*(1-K92),2))</f>
        <v>313.1</v>
      </c>
      <c r="U92" s="7" t="n">
        <f aca="false">ROUND(L92*I92/1.18,2)</f>
        <v>530.68</v>
      </c>
      <c r="V92" s="7" t="n">
        <f aca="false">ROUND(M92-U92,2)</f>
        <v>0</v>
      </c>
      <c r="W92" s="8" t="str">
        <f aca="false">IF(ABS(V92)&gt;0.011,"CHECK","OK")</f>
        <v>OK</v>
      </c>
    </row>
    <row r="93" customFormat="false" ht="15" hidden="false" customHeight="false" outlineLevel="0" collapsed="false">
      <c r="A93" s="2" t="s">
        <v>95</v>
      </c>
      <c r="B93" s="2" t="s">
        <v>24</v>
      </c>
      <c r="C93" s="3" t="s">
        <v>96</v>
      </c>
      <c r="D93" s="2" t="n">
        <v>62</v>
      </c>
      <c r="E93" s="3" t="s">
        <v>219</v>
      </c>
      <c r="F93" s="3" t="s">
        <v>220</v>
      </c>
      <c r="G93" s="2" t="s">
        <v>45</v>
      </c>
      <c r="H93" s="4" t="n">
        <v>735</v>
      </c>
      <c r="I93" s="5" t="n">
        <v>2</v>
      </c>
      <c r="J93" s="2" t="s">
        <v>40</v>
      </c>
      <c r="K93" s="6" t="n">
        <v>0.38</v>
      </c>
      <c r="L93" s="4" t="n">
        <v>455.7</v>
      </c>
      <c r="M93" s="4" t="n">
        <v>772.37</v>
      </c>
      <c r="N93" s="6" t="n">
        <v>0.09</v>
      </c>
      <c r="O93" s="4" t="n">
        <v>69.51</v>
      </c>
      <c r="P93" s="6" t="n">
        <v>0.09</v>
      </c>
      <c r="Q93" s="4" t="n">
        <v>69.51</v>
      </c>
      <c r="R93" s="7" t="n">
        <f aca="false">M93+O93+P93</f>
        <v>841.97</v>
      </c>
      <c r="S93" s="7" t="n">
        <f aca="false">H93*I93</f>
        <v>1470</v>
      </c>
      <c r="T93" s="7" t="n">
        <f aca="false">IF(K93="","",ROUND(H93*(1-K93),2))</f>
        <v>455.7</v>
      </c>
      <c r="U93" s="7" t="n">
        <f aca="false">ROUND(L93*I93/1.18,2)</f>
        <v>772.37</v>
      </c>
      <c r="V93" s="7" t="n">
        <f aca="false">ROUND(M93-U93,2)</f>
        <v>0</v>
      </c>
      <c r="W93" s="8" t="str">
        <f aca="false">IF(ABS(V93)&gt;0.011,"CHECK","OK")</f>
        <v>OK</v>
      </c>
    </row>
    <row r="94" customFormat="false" ht="15" hidden="false" customHeight="false" outlineLevel="0" collapsed="false">
      <c r="A94" s="2" t="s">
        <v>95</v>
      </c>
      <c r="B94" s="2" t="s">
        <v>24</v>
      </c>
      <c r="C94" s="3" t="s">
        <v>96</v>
      </c>
      <c r="D94" s="2" t="n">
        <v>63</v>
      </c>
      <c r="E94" s="3" t="s">
        <v>221</v>
      </c>
      <c r="F94" s="3" t="s">
        <v>222</v>
      </c>
      <c r="G94" s="2" t="s">
        <v>45</v>
      </c>
      <c r="H94" s="4" t="n">
        <v>830</v>
      </c>
      <c r="I94" s="5" t="n">
        <v>2</v>
      </c>
      <c r="J94" s="2" t="s">
        <v>29</v>
      </c>
      <c r="K94" s="6" t="n">
        <v>0.38</v>
      </c>
      <c r="L94" s="4" t="n">
        <v>514.6</v>
      </c>
      <c r="M94" s="4" t="n">
        <v>872.2</v>
      </c>
      <c r="N94" s="6" t="n">
        <v>0.09</v>
      </c>
      <c r="O94" s="4" t="n">
        <v>78.5</v>
      </c>
      <c r="P94" s="6" t="n">
        <v>0.09</v>
      </c>
      <c r="Q94" s="4" t="n">
        <v>78.5</v>
      </c>
      <c r="R94" s="7" t="n">
        <f aca="false">M94+O94+P94</f>
        <v>950.79</v>
      </c>
      <c r="S94" s="7" t="n">
        <f aca="false">H94*I94</f>
        <v>1660</v>
      </c>
      <c r="T94" s="7" t="n">
        <f aca="false">IF(K94="","",ROUND(H94*(1-K94),2))</f>
        <v>514.6</v>
      </c>
      <c r="U94" s="7" t="n">
        <f aca="false">ROUND(L94*I94/1.18,2)</f>
        <v>872.2</v>
      </c>
      <c r="V94" s="7" t="n">
        <f aca="false">ROUND(M94-U94,2)</f>
        <v>0</v>
      </c>
      <c r="W94" s="8" t="str">
        <f aca="false">IF(ABS(V94)&gt;0.011,"CHECK","OK")</f>
        <v>OK</v>
      </c>
    </row>
    <row r="95" customFormat="false" ht="15" hidden="false" customHeight="false" outlineLevel="0" collapsed="false">
      <c r="A95" s="2" t="s">
        <v>95</v>
      </c>
      <c r="B95" s="2" t="s">
        <v>24</v>
      </c>
      <c r="C95" s="3" t="s">
        <v>96</v>
      </c>
      <c r="D95" s="2" t="n">
        <v>64</v>
      </c>
      <c r="E95" s="3" t="s">
        <v>223</v>
      </c>
      <c r="F95" s="3" t="s">
        <v>224</v>
      </c>
      <c r="G95" s="2" t="s">
        <v>45</v>
      </c>
      <c r="H95" s="4" t="n">
        <v>575</v>
      </c>
      <c r="I95" s="5" t="n">
        <v>2</v>
      </c>
      <c r="J95" s="2" t="s">
        <v>29</v>
      </c>
      <c r="K95" s="6" t="n">
        <v>0.38</v>
      </c>
      <c r="L95" s="4" t="n">
        <v>356.5</v>
      </c>
      <c r="M95" s="4" t="n">
        <v>604.24</v>
      </c>
      <c r="N95" s="6" t="n">
        <v>0.09</v>
      </c>
      <c r="O95" s="4" t="n">
        <v>54.38</v>
      </c>
      <c r="P95" s="6" t="n">
        <v>0.09</v>
      </c>
      <c r="Q95" s="4" t="n">
        <v>54.38</v>
      </c>
      <c r="R95" s="7" t="n">
        <f aca="false">M95+O95+P95</f>
        <v>658.71</v>
      </c>
      <c r="S95" s="7" t="n">
        <f aca="false">H95*I95</f>
        <v>1150</v>
      </c>
      <c r="T95" s="7" t="n">
        <f aca="false">IF(K95="","",ROUND(H95*(1-K95),2))</f>
        <v>356.5</v>
      </c>
      <c r="U95" s="7" t="n">
        <f aca="false">ROUND(L95*I95/1.18,2)</f>
        <v>604.24</v>
      </c>
      <c r="V95" s="7" t="n">
        <f aca="false">ROUND(M95-U95,2)</f>
        <v>0</v>
      </c>
      <c r="W95" s="8" t="str">
        <f aca="false">IF(ABS(V95)&gt;0.011,"CHECK","OK")</f>
        <v>OK</v>
      </c>
    </row>
    <row r="96" customFormat="false" ht="15" hidden="false" customHeight="false" outlineLevel="0" collapsed="false">
      <c r="A96" s="2" t="s">
        <v>95</v>
      </c>
      <c r="B96" s="2" t="s">
        <v>24</v>
      </c>
      <c r="C96" s="3" t="s">
        <v>96</v>
      </c>
      <c r="D96" s="2" t="n">
        <v>65</v>
      </c>
      <c r="E96" s="3" t="s">
        <v>225</v>
      </c>
      <c r="F96" s="3" t="s">
        <v>226</v>
      </c>
      <c r="G96" s="2" t="s">
        <v>45</v>
      </c>
      <c r="H96" s="4" t="n">
        <v>575</v>
      </c>
      <c r="I96" s="5" t="n">
        <v>2</v>
      </c>
      <c r="J96" s="2" t="s">
        <v>29</v>
      </c>
      <c r="K96" s="6" t="n">
        <v>0.38</v>
      </c>
      <c r="L96" s="4" t="n">
        <v>356.5</v>
      </c>
      <c r="M96" s="4" t="n">
        <v>604.24</v>
      </c>
      <c r="N96" s="6" t="n">
        <v>0.09</v>
      </c>
      <c r="O96" s="4" t="n">
        <v>54.38</v>
      </c>
      <c r="P96" s="6" t="n">
        <v>0.09</v>
      </c>
      <c r="Q96" s="4" t="n">
        <v>54.38</v>
      </c>
      <c r="R96" s="7" t="n">
        <f aca="false">M96+O96+P96</f>
        <v>658.71</v>
      </c>
      <c r="S96" s="7" t="n">
        <f aca="false">H96*I96</f>
        <v>1150</v>
      </c>
      <c r="T96" s="7" t="n">
        <f aca="false">IF(K96="","",ROUND(H96*(1-K96),2))</f>
        <v>356.5</v>
      </c>
      <c r="U96" s="7" t="n">
        <f aca="false">ROUND(L96*I96/1.18,2)</f>
        <v>604.24</v>
      </c>
      <c r="V96" s="7" t="n">
        <f aca="false">ROUND(M96-U96,2)</f>
        <v>0</v>
      </c>
      <c r="W96" s="8" t="str">
        <f aca="false">IF(ABS(V96)&gt;0.011,"CHECK","OK")</f>
        <v>OK</v>
      </c>
    </row>
    <row r="97" customFormat="false" ht="15" hidden="false" customHeight="false" outlineLevel="0" collapsed="false">
      <c r="A97" s="2" t="s">
        <v>95</v>
      </c>
      <c r="B97" s="2" t="s">
        <v>24</v>
      </c>
      <c r="C97" s="3" t="s">
        <v>96</v>
      </c>
      <c r="D97" s="2" t="n">
        <v>66</v>
      </c>
      <c r="E97" s="3" t="s">
        <v>227</v>
      </c>
      <c r="F97" s="3" t="s">
        <v>228</v>
      </c>
      <c r="G97" s="2" t="s">
        <v>45</v>
      </c>
      <c r="H97" s="4" t="n">
        <v>660</v>
      </c>
      <c r="I97" s="5" t="n">
        <v>2</v>
      </c>
      <c r="J97" s="2" t="s">
        <v>29</v>
      </c>
      <c r="K97" s="6" t="n">
        <v>0.38</v>
      </c>
      <c r="L97" s="4" t="n">
        <v>409.2</v>
      </c>
      <c r="M97" s="4" t="n">
        <v>693.56</v>
      </c>
      <c r="N97" s="6" t="n">
        <v>0.09</v>
      </c>
      <c r="O97" s="4" t="n">
        <v>62.42</v>
      </c>
      <c r="P97" s="6" t="n">
        <v>0.09</v>
      </c>
      <c r="Q97" s="4" t="n">
        <v>62.42</v>
      </c>
      <c r="R97" s="7" t="n">
        <f aca="false">M97+O97+P97</f>
        <v>756.07</v>
      </c>
      <c r="S97" s="7" t="n">
        <f aca="false">H97*I97</f>
        <v>1320</v>
      </c>
      <c r="T97" s="7" t="n">
        <f aca="false">IF(K97="","",ROUND(H97*(1-K97),2))</f>
        <v>409.2</v>
      </c>
      <c r="U97" s="7" t="n">
        <f aca="false">ROUND(L97*I97/1.18,2)</f>
        <v>693.56</v>
      </c>
      <c r="V97" s="7" t="n">
        <f aca="false">ROUND(M97-U97,2)</f>
        <v>0</v>
      </c>
      <c r="W97" s="8" t="str">
        <f aca="false">IF(ABS(V97)&gt;0.011,"CHECK","OK")</f>
        <v>OK</v>
      </c>
    </row>
    <row r="98" customFormat="false" ht="15" hidden="false" customHeight="false" outlineLevel="0" collapsed="false">
      <c r="A98" s="2" t="s">
        <v>95</v>
      </c>
      <c r="B98" s="2" t="s">
        <v>24</v>
      </c>
      <c r="C98" s="3" t="s">
        <v>96</v>
      </c>
      <c r="D98" s="2" t="n">
        <v>67</v>
      </c>
      <c r="E98" s="3" t="s">
        <v>229</v>
      </c>
      <c r="F98" s="3" t="s">
        <v>230</v>
      </c>
      <c r="G98" s="2" t="s">
        <v>45</v>
      </c>
      <c r="H98" s="4" t="n">
        <v>660</v>
      </c>
      <c r="I98" s="5" t="n">
        <v>2</v>
      </c>
      <c r="J98" s="2" t="s">
        <v>29</v>
      </c>
      <c r="K98" s="6" t="n">
        <v>0.38</v>
      </c>
      <c r="L98" s="4" t="n">
        <v>409.2</v>
      </c>
      <c r="M98" s="4" t="n">
        <v>693.56</v>
      </c>
      <c r="N98" s="6" t="n">
        <v>0.09</v>
      </c>
      <c r="O98" s="4" t="n">
        <v>62.42</v>
      </c>
      <c r="P98" s="6" t="n">
        <v>0.09</v>
      </c>
      <c r="Q98" s="4" t="n">
        <v>62.42</v>
      </c>
      <c r="R98" s="7" t="n">
        <f aca="false">M98+O98+P98</f>
        <v>756.07</v>
      </c>
      <c r="S98" s="7" t="n">
        <f aca="false">H98*I98</f>
        <v>1320</v>
      </c>
      <c r="T98" s="7" t="n">
        <f aca="false">IF(K98="","",ROUND(H98*(1-K98),2))</f>
        <v>409.2</v>
      </c>
      <c r="U98" s="7" t="n">
        <f aca="false">ROUND(L98*I98/1.18,2)</f>
        <v>693.56</v>
      </c>
      <c r="V98" s="7" t="n">
        <f aca="false">ROUND(M98-U98,2)</f>
        <v>0</v>
      </c>
      <c r="W98" s="8" t="str">
        <f aca="false">IF(ABS(V98)&gt;0.011,"CHECK","OK")</f>
        <v>OK</v>
      </c>
    </row>
    <row r="99" customFormat="false" ht="15" hidden="false" customHeight="false" outlineLevel="0" collapsed="false">
      <c r="A99" s="2" t="s">
        <v>95</v>
      </c>
      <c r="B99" s="2" t="s">
        <v>24</v>
      </c>
      <c r="C99" s="3" t="s">
        <v>96</v>
      </c>
      <c r="D99" s="2" t="n">
        <v>68</v>
      </c>
      <c r="E99" s="3" t="s">
        <v>231</v>
      </c>
      <c r="F99" s="3" t="s">
        <v>232</v>
      </c>
      <c r="G99" s="2" t="s">
        <v>45</v>
      </c>
      <c r="H99" s="4" t="n">
        <v>570</v>
      </c>
      <c r="I99" s="5" t="n">
        <v>2</v>
      </c>
      <c r="J99" s="2" t="s">
        <v>29</v>
      </c>
      <c r="K99" s="6" t="n">
        <v>0.38</v>
      </c>
      <c r="L99" s="4" t="n">
        <v>353.4</v>
      </c>
      <c r="M99" s="4" t="n">
        <v>598.98</v>
      </c>
      <c r="N99" s="6" t="n">
        <v>0.09</v>
      </c>
      <c r="O99" s="4" t="n">
        <v>53.91</v>
      </c>
      <c r="P99" s="6" t="n">
        <v>0.09</v>
      </c>
      <c r="Q99" s="4" t="n">
        <v>53.91</v>
      </c>
      <c r="R99" s="7" t="n">
        <f aca="false">M99+O99+P99</f>
        <v>652.98</v>
      </c>
      <c r="S99" s="7" t="n">
        <f aca="false">H99*I99</f>
        <v>1140</v>
      </c>
      <c r="T99" s="7" t="n">
        <f aca="false">IF(K99="","",ROUND(H99*(1-K99),2))</f>
        <v>353.4</v>
      </c>
      <c r="U99" s="7" t="n">
        <f aca="false">ROUND(L99*I99/1.18,2)</f>
        <v>598.98</v>
      </c>
      <c r="V99" s="7" t="n">
        <f aca="false">ROUND(M99-U99,2)</f>
        <v>0</v>
      </c>
      <c r="W99" s="8" t="str">
        <f aca="false">IF(ABS(V99)&gt;0.011,"CHECK","OK")</f>
        <v>OK</v>
      </c>
    </row>
    <row r="100" customFormat="false" ht="15" hidden="false" customHeight="false" outlineLevel="0" collapsed="false">
      <c r="A100" s="2" t="s">
        <v>95</v>
      </c>
      <c r="B100" s="2" t="s">
        <v>24</v>
      </c>
      <c r="C100" s="3" t="s">
        <v>96</v>
      </c>
      <c r="D100" s="2" t="n">
        <v>69</v>
      </c>
      <c r="E100" s="3" t="s">
        <v>233</v>
      </c>
      <c r="F100" s="3" t="s">
        <v>234</v>
      </c>
      <c r="G100" s="2" t="s">
        <v>45</v>
      </c>
      <c r="H100" s="4" t="n">
        <v>570</v>
      </c>
      <c r="I100" s="5" t="n">
        <v>2</v>
      </c>
      <c r="J100" s="2" t="s">
        <v>29</v>
      </c>
      <c r="K100" s="6" t="n">
        <v>0.38</v>
      </c>
      <c r="L100" s="4" t="n">
        <v>353.4</v>
      </c>
      <c r="M100" s="4" t="n">
        <v>598.98</v>
      </c>
      <c r="N100" s="6" t="n">
        <v>0.09</v>
      </c>
      <c r="O100" s="4" t="n">
        <v>53.91</v>
      </c>
      <c r="P100" s="6" t="n">
        <v>0.09</v>
      </c>
      <c r="Q100" s="4" t="n">
        <v>53.91</v>
      </c>
      <c r="R100" s="7" t="n">
        <f aca="false">M100+O100+P100</f>
        <v>652.98</v>
      </c>
      <c r="S100" s="7" t="n">
        <f aca="false">H100*I100</f>
        <v>1140</v>
      </c>
      <c r="T100" s="7" t="n">
        <f aca="false">IF(K100="","",ROUND(H100*(1-K100),2))</f>
        <v>353.4</v>
      </c>
      <c r="U100" s="7" t="n">
        <f aca="false">ROUND(L100*I100/1.18,2)</f>
        <v>598.98</v>
      </c>
      <c r="V100" s="7" t="n">
        <f aca="false">ROUND(M100-U100,2)</f>
        <v>0</v>
      </c>
      <c r="W100" s="8" t="str">
        <f aca="false">IF(ABS(V100)&gt;0.011,"CHECK","OK")</f>
        <v>OK</v>
      </c>
    </row>
    <row r="101" customFormat="false" ht="15" hidden="false" customHeight="false" outlineLevel="0" collapsed="false">
      <c r="A101" s="2" t="s">
        <v>95</v>
      </c>
      <c r="B101" s="2" t="s">
        <v>24</v>
      </c>
      <c r="C101" s="3" t="s">
        <v>96</v>
      </c>
      <c r="D101" s="2" t="n">
        <v>70</v>
      </c>
      <c r="E101" s="3" t="s">
        <v>235</v>
      </c>
      <c r="F101" s="3" t="s">
        <v>236</v>
      </c>
      <c r="G101" s="2" t="s">
        <v>45</v>
      </c>
      <c r="H101" s="4" t="n">
        <v>925</v>
      </c>
      <c r="I101" s="5" t="n">
        <v>3</v>
      </c>
      <c r="J101" s="2" t="s">
        <v>29</v>
      </c>
      <c r="K101" s="6" t="n">
        <v>0.38</v>
      </c>
      <c r="L101" s="4" t="n">
        <v>573.5</v>
      </c>
      <c r="M101" s="4" t="n">
        <v>1458.05</v>
      </c>
      <c r="N101" s="6" t="n">
        <v>0.09</v>
      </c>
      <c r="O101" s="4" t="n">
        <v>131.22</v>
      </c>
      <c r="P101" s="6" t="n">
        <v>0.09</v>
      </c>
      <c r="Q101" s="4" t="n">
        <v>131.22</v>
      </c>
      <c r="R101" s="7" t="n">
        <f aca="false">M101+O101+P101</f>
        <v>1589.36</v>
      </c>
      <c r="S101" s="7" t="n">
        <f aca="false">H101*I101</f>
        <v>2775</v>
      </c>
      <c r="T101" s="7" t="n">
        <f aca="false">IF(K101="","",ROUND(H101*(1-K101),2))</f>
        <v>573.5</v>
      </c>
      <c r="U101" s="7" t="n">
        <f aca="false">ROUND(L101*I101/1.18,2)</f>
        <v>1458.05</v>
      </c>
      <c r="V101" s="7" t="n">
        <f aca="false">ROUND(M101-U101,2)</f>
        <v>0</v>
      </c>
      <c r="W101" s="8" t="str">
        <f aca="false">IF(ABS(V101)&gt;0.011,"CHECK","OK")</f>
        <v>OK</v>
      </c>
    </row>
    <row r="102" customFormat="false" ht="15" hidden="false" customHeight="false" outlineLevel="0" collapsed="false">
      <c r="A102" s="2" t="s">
        <v>95</v>
      </c>
      <c r="B102" s="2" t="s">
        <v>24</v>
      </c>
      <c r="C102" s="3" t="s">
        <v>96</v>
      </c>
      <c r="D102" s="2" t="n">
        <v>71</v>
      </c>
      <c r="E102" s="3" t="s">
        <v>237</v>
      </c>
      <c r="F102" s="3" t="s">
        <v>238</v>
      </c>
      <c r="G102" s="2" t="s">
        <v>45</v>
      </c>
      <c r="H102" s="4" t="n">
        <v>700</v>
      </c>
      <c r="I102" s="5" t="n">
        <v>2</v>
      </c>
      <c r="J102" s="2" t="s">
        <v>68</v>
      </c>
      <c r="K102" s="6" t="n">
        <v>0.38</v>
      </c>
      <c r="L102" s="4" t="n">
        <v>434</v>
      </c>
      <c r="M102" s="4" t="n">
        <v>735.59</v>
      </c>
      <c r="N102" s="6" t="n">
        <v>0.09</v>
      </c>
      <c r="O102" s="4" t="n">
        <v>66.2</v>
      </c>
      <c r="P102" s="6" t="n">
        <v>0.09</v>
      </c>
      <c r="Q102" s="4" t="n">
        <v>66.2</v>
      </c>
      <c r="R102" s="7" t="n">
        <f aca="false">M102+O102+P102</f>
        <v>801.88</v>
      </c>
      <c r="S102" s="7" t="n">
        <f aca="false">H102*I102</f>
        <v>1400</v>
      </c>
      <c r="T102" s="7" t="n">
        <f aca="false">IF(K102="","",ROUND(H102*(1-K102),2))</f>
        <v>434</v>
      </c>
      <c r="U102" s="7" t="n">
        <f aca="false">ROUND(L102*I102/1.18,2)</f>
        <v>735.59</v>
      </c>
      <c r="V102" s="7" t="n">
        <f aca="false">ROUND(M102-U102,2)</f>
        <v>0</v>
      </c>
      <c r="W102" s="8" t="str">
        <f aca="false">IF(ABS(V102)&gt;0.011,"CHECK","OK")</f>
        <v>OK</v>
      </c>
    </row>
    <row r="103" customFormat="false" ht="15" hidden="false" customHeight="false" outlineLevel="0" collapsed="false">
      <c r="A103" s="2" t="s">
        <v>95</v>
      </c>
      <c r="B103" s="2" t="s">
        <v>24</v>
      </c>
      <c r="C103" s="3" t="s">
        <v>96</v>
      </c>
      <c r="D103" s="2" t="n">
        <v>72</v>
      </c>
      <c r="E103" s="3" t="s">
        <v>239</v>
      </c>
      <c r="F103" s="3" t="s">
        <v>240</v>
      </c>
      <c r="G103" s="2" t="s">
        <v>45</v>
      </c>
      <c r="H103" s="4" t="n">
        <v>670</v>
      </c>
      <c r="I103" s="5" t="n">
        <v>2</v>
      </c>
      <c r="J103" s="2" t="s">
        <v>40</v>
      </c>
      <c r="K103" s="6" t="n">
        <v>0.38</v>
      </c>
      <c r="L103" s="4" t="n">
        <v>415.4</v>
      </c>
      <c r="M103" s="4" t="n">
        <v>704.07</v>
      </c>
      <c r="N103" s="6" t="n">
        <v>0.09</v>
      </c>
      <c r="O103" s="4" t="n">
        <v>63.36</v>
      </c>
      <c r="P103" s="6" t="n">
        <v>0.09</v>
      </c>
      <c r="Q103" s="4" t="n">
        <v>63.36</v>
      </c>
      <c r="R103" s="7" t="n">
        <f aca="false">M103+O103+P103</f>
        <v>767.52</v>
      </c>
      <c r="S103" s="7" t="n">
        <f aca="false">H103*I103</f>
        <v>1340</v>
      </c>
      <c r="T103" s="7" t="n">
        <f aca="false">IF(K103="","",ROUND(H103*(1-K103),2))</f>
        <v>415.4</v>
      </c>
      <c r="U103" s="7" t="n">
        <f aca="false">ROUND(L103*I103/1.18,2)</f>
        <v>704.07</v>
      </c>
      <c r="V103" s="7" t="n">
        <f aca="false">ROUND(M103-U103,2)</f>
        <v>0</v>
      </c>
      <c r="W103" s="8" t="str">
        <f aca="false">IF(ABS(V103)&gt;0.011,"CHECK","OK")</f>
        <v>OK</v>
      </c>
    </row>
    <row r="104" customFormat="false" ht="15" hidden="false" customHeight="false" outlineLevel="0" collapsed="false">
      <c r="A104" s="2" t="s">
        <v>95</v>
      </c>
      <c r="B104" s="2" t="s">
        <v>24</v>
      </c>
      <c r="C104" s="3" t="s">
        <v>96</v>
      </c>
      <c r="D104" s="2" t="n">
        <v>73</v>
      </c>
      <c r="E104" s="3" t="s">
        <v>241</v>
      </c>
      <c r="F104" s="3" t="s">
        <v>242</v>
      </c>
      <c r="G104" s="2" t="s">
        <v>45</v>
      </c>
      <c r="H104" s="4" t="n">
        <v>670</v>
      </c>
      <c r="I104" s="5" t="n">
        <v>2</v>
      </c>
      <c r="J104" s="2" t="s">
        <v>40</v>
      </c>
      <c r="K104" s="6" t="n">
        <v>0.38</v>
      </c>
      <c r="L104" s="4" t="n">
        <v>415.4</v>
      </c>
      <c r="M104" s="4" t="n">
        <v>704.07</v>
      </c>
      <c r="N104" s="6" t="n">
        <v>0.09</v>
      </c>
      <c r="O104" s="4" t="n">
        <v>63.36</v>
      </c>
      <c r="P104" s="6" t="n">
        <v>0.09</v>
      </c>
      <c r="Q104" s="4" t="n">
        <v>63.36</v>
      </c>
      <c r="R104" s="7" t="n">
        <f aca="false">M104+O104+P104</f>
        <v>767.52</v>
      </c>
      <c r="S104" s="7" t="n">
        <f aca="false">H104*I104</f>
        <v>1340</v>
      </c>
      <c r="T104" s="7" t="n">
        <f aca="false">IF(K104="","",ROUND(H104*(1-K104),2))</f>
        <v>415.4</v>
      </c>
      <c r="U104" s="7" t="n">
        <f aca="false">ROUND(L104*I104/1.18,2)</f>
        <v>704.07</v>
      </c>
      <c r="V104" s="7" t="n">
        <f aca="false">ROUND(M104-U104,2)</f>
        <v>0</v>
      </c>
      <c r="W104" s="8" t="str">
        <f aca="false">IF(ABS(V104)&gt;0.011,"CHECK","OK")</f>
        <v>OK</v>
      </c>
    </row>
    <row r="105" customFormat="false" ht="15" hidden="false" customHeight="false" outlineLevel="0" collapsed="false">
      <c r="A105" s="2" t="s">
        <v>95</v>
      </c>
      <c r="B105" s="2" t="s">
        <v>24</v>
      </c>
      <c r="C105" s="3" t="s">
        <v>96</v>
      </c>
      <c r="D105" s="2" t="n">
        <v>74</v>
      </c>
      <c r="E105" s="3" t="s">
        <v>243</v>
      </c>
      <c r="F105" s="3" t="s">
        <v>244</v>
      </c>
      <c r="G105" s="2" t="s">
        <v>45</v>
      </c>
      <c r="H105" s="4" t="n">
        <v>490</v>
      </c>
      <c r="I105" s="5" t="n">
        <v>5</v>
      </c>
      <c r="J105" s="2" t="s">
        <v>245</v>
      </c>
      <c r="K105" s="6" t="n">
        <v>0.38</v>
      </c>
      <c r="L105" s="4" t="n">
        <v>303.8</v>
      </c>
      <c r="M105" s="4" t="n">
        <v>1287.29</v>
      </c>
      <c r="N105" s="6" t="n">
        <v>0.09</v>
      </c>
      <c r="O105" s="4" t="n">
        <v>115.85</v>
      </c>
      <c r="P105" s="6" t="n">
        <v>0.09</v>
      </c>
      <c r="Q105" s="4" t="n">
        <v>115.85</v>
      </c>
      <c r="R105" s="7" t="n">
        <f aca="false">M105+O105+P105</f>
        <v>1403.23</v>
      </c>
      <c r="S105" s="7" t="n">
        <f aca="false">H105*I105</f>
        <v>2450</v>
      </c>
      <c r="T105" s="7" t="n">
        <f aca="false">IF(K105="","",ROUND(H105*(1-K105),2))</f>
        <v>303.8</v>
      </c>
      <c r="U105" s="7" t="n">
        <f aca="false">ROUND(L105*I105/1.18,2)</f>
        <v>1287.29</v>
      </c>
      <c r="V105" s="7" t="n">
        <f aca="false">ROUND(M105-U105,2)</f>
        <v>0</v>
      </c>
      <c r="W105" s="8" t="str">
        <f aca="false">IF(ABS(V105)&gt;0.011,"CHECK","OK")</f>
        <v>OK</v>
      </c>
    </row>
    <row r="106" customFormat="false" ht="15" hidden="false" customHeight="false" outlineLevel="0" collapsed="false">
      <c r="A106" s="2" t="s">
        <v>95</v>
      </c>
      <c r="B106" s="2" t="s">
        <v>24</v>
      </c>
      <c r="C106" s="3" t="s">
        <v>96</v>
      </c>
      <c r="D106" s="2" t="n">
        <v>75</v>
      </c>
      <c r="E106" s="3" t="s">
        <v>246</v>
      </c>
      <c r="F106" s="3" t="s">
        <v>247</v>
      </c>
      <c r="G106" s="2" t="s">
        <v>45</v>
      </c>
      <c r="H106" s="4" t="n">
        <v>490</v>
      </c>
      <c r="I106" s="5" t="n">
        <v>5</v>
      </c>
      <c r="J106" s="2" t="s">
        <v>29</v>
      </c>
      <c r="K106" s="6" t="n">
        <v>0.38</v>
      </c>
      <c r="L106" s="4" t="n">
        <v>303.8</v>
      </c>
      <c r="M106" s="4" t="n">
        <v>1287.29</v>
      </c>
      <c r="N106" s="6" t="n">
        <v>0.09</v>
      </c>
      <c r="O106" s="4" t="n">
        <v>115.85</v>
      </c>
      <c r="P106" s="6" t="n">
        <v>0.09</v>
      </c>
      <c r="Q106" s="4" t="n">
        <v>115.85</v>
      </c>
      <c r="R106" s="7" t="n">
        <f aca="false">M106+O106+P106</f>
        <v>1403.23</v>
      </c>
      <c r="S106" s="7" t="n">
        <f aca="false">H106*I106</f>
        <v>2450</v>
      </c>
      <c r="T106" s="7" t="n">
        <f aca="false">IF(K106="","",ROUND(H106*(1-K106),2))</f>
        <v>303.8</v>
      </c>
      <c r="U106" s="7" t="n">
        <f aca="false">ROUND(L106*I106/1.18,2)</f>
        <v>1287.29</v>
      </c>
      <c r="V106" s="7" t="n">
        <f aca="false">ROUND(M106-U106,2)</f>
        <v>0</v>
      </c>
      <c r="W106" s="8" t="str">
        <f aca="false">IF(ABS(V106)&gt;0.011,"CHECK","OK")</f>
        <v>OK</v>
      </c>
    </row>
    <row r="107" customFormat="false" ht="15" hidden="false" customHeight="false" outlineLevel="0" collapsed="false">
      <c r="A107" s="2" t="s">
        <v>95</v>
      </c>
      <c r="B107" s="2" t="s">
        <v>24</v>
      </c>
      <c r="C107" s="3" t="s">
        <v>96</v>
      </c>
      <c r="D107" s="2" t="n">
        <v>76</v>
      </c>
      <c r="E107" s="3" t="s">
        <v>248</v>
      </c>
      <c r="F107" s="3" t="s">
        <v>249</v>
      </c>
      <c r="G107" s="2" t="s">
        <v>45</v>
      </c>
      <c r="H107" s="4" t="n">
        <v>1150</v>
      </c>
      <c r="I107" s="5" t="n">
        <v>3</v>
      </c>
      <c r="J107" s="2" t="s">
        <v>29</v>
      </c>
      <c r="K107" s="6" t="n">
        <v>0.38</v>
      </c>
      <c r="L107" s="4" t="n">
        <v>713</v>
      </c>
      <c r="M107" s="4" t="n">
        <v>1812.71</v>
      </c>
      <c r="N107" s="6" t="n">
        <v>0.09</v>
      </c>
      <c r="O107" s="4" t="n">
        <v>163.14</v>
      </c>
      <c r="P107" s="6" t="n">
        <v>0.09</v>
      </c>
      <c r="Q107" s="4" t="n">
        <v>163.14</v>
      </c>
      <c r="R107" s="7" t="n">
        <f aca="false">M107+O107+P107</f>
        <v>1975.94</v>
      </c>
      <c r="S107" s="7" t="n">
        <f aca="false">H107*I107</f>
        <v>3450</v>
      </c>
      <c r="T107" s="7" t="n">
        <f aca="false">IF(K107="","",ROUND(H107*(1-K107),2))</f>
        <v>713</v>
      </c>
      <c r="U107" s="7" t="n">
        <f aca="false">ROUND(L107*I107/1.18,2)</f>
        <v>1812.71</v>
      </c>
      <c r="V107" s="7" t="n">
        <f aca="false">ROUND(M107-U107,2)</f>
        <v>0</v>
      </c>
      <c r="W107" s="8" t="str">
        <f aca="false">IF(ABS(V107)&gt;0.011,"CHECK","OK")</f>
        <v>OK</v>
      </c>
    </row>
    <row r="108" customFormat="false" ht="15" hidden="false" customHeight="false" outlineLevel="0" collapsed="false">
      <c r="A108" s="2" t="s">
        <v>95</v>
      </c>
      <c r="B108" s="2" t="s">
        <v>24</v>
      </c>
      <c r="C108" s="3" t="s">
        <v>96</v>
      </c>
      <c r="D108" s="2" t="n">
        <v>77</v>
      </c>
      <c r="E108" s="3" t="s">
        <v>250</v>
      </c>
      <c r="F108" s="3" t="s">
        <v>251</v>
      </c>
      <c r="G108" s="2" t="s">
        <v>45</v>
      </c>
      <c r="H108" s="4" t="n">
        <v>1130</v>
      </c>
      <c r="I108" s="5" t="n">
        <v>1</v>
      </c>
      <c r="J108" s="2"/>
      <c r="K108" s="6" t="n">
        <v>0.38</v>
      </c>
      <c r="L108" s="4" t="n">
        <v>700.6</v>
      </c>
      <c r="M108" s="4" t="n">
        <v>593.73</v>
      </c>
      <c r="N108" s="6" t="n">
        <v>0.09</v>
      </c>
      <c r="O108" s="4" t="n">
        <v>53.43</v>
      </c>
      <c r="P108" s="6" t="n">
        <v>0.09</v>
      </c>
      <c r="Q108" s="4" t="n">
        <v>53.43</v>
      </c>
      <c r="R108" s="7" t="n">
        <f aca="false">M108+O108+P108</f>
        <v>647.25</v>
      </c>
      <c r="S108" s="7" t="n">
        <f aca="false">H108*I108</f>
        <v>1130</v>
      </c>
      <c r="T108" s="7" t="n">
        <f aca="false">IF(K108="","",ROUND(H108*(1-K108),2))</f>
        <v>700.6</v>
      </c>
      <c r="U108" s="7" t="n">
        <f aca="false">ROUND(L108*I108/1.18,2)</f>
        <v>593.73</v>
      </c>
      <c r="V108" s="7" t="n">
        <f aca="false">ROUND(M108-U108,2)</f>
        <v>0</v>
      </c>
      <c r="W108" s="8" t="str">
        <f aca="false">IF(ABS(V108)&gt;0.011,"CHECK","OK")</f>
        <v>OK</v>
      </c>
    </row>
    <row r="109" customFormat="false" ht="15" hidden="false" customHeight="false" outlineLevel="0" collapsed="false">
      <c r="A109" s="2" t="s">
        <v>95</v>
      </c>
      <c r="B109" s="2" t="s">
        <v>24</v>
      </c>
      <c r="C109" s="3" t="s">
        <v>96</v>
      </c>
      <c r="D109" s="2" t="n">
        <v>78</v>
      </c>
      <c r="E109" s="3" t="s">
        <v>252</v>
      </c>
      <c r="F109" s="3" t="s">
        <v>253</v>
      </c>
      <c r="G109" s="2" t="s">
        <v>45</v>
      </c>
      <c r="H109" s="4" t="n">
        <v>940</v>
      </c>
      <c r="I109" s="5" t="n">
        <v>2</v>
      </c>
      <c r="J109" s="2" t="s">
        <v>29</v>
      </c>
      <c r="K109" s="6" t="n">
        <v>0.38</v>
      </c>
      <c r="L109" s="4" t="n">
        <v>582.8</v>
      </c>
      <c r="M109" s="4" t="n">
        <v>987.8</v>
      </c>
      <c r="N109" s="6" t="n">
        <v>0.09</v>
      </c>
      <c r="O109" s="4" t="n">
        <v>88.9</v>
      </c>
      <c r="P109" s="6" t="n">
        <v>0.09</v>
      </c>
      <c r="Q109" s="4" t="n">
        <v>88.9</v>
      </c>
      <c r="R109" s="7" t="n">
        <f aca="false">M109+O109+P109</f>
        <v>1076.79</v>
      </c>
      <c r="S109" s="7" t="n">
        <f aca="false">H109*I109</f>
        <v>1880</v>
      </c>
      <c r="T109" s="7" t="n">
        <f aca="false">IF(K109="","",ROUND(H109*(1-K109),2))</f>
        <v>582.8</v>
      </c>
      <c r="U109" s="7" t="n">
        <f aca="false">ROUND(L109*I109/1.18,2)</f>
        <v>987.8</v>
      </c>
      <c r="V109" s="7" t="n">
        <f aca="false">ROUND(M109-U109,2)</f>
        <v>0</v>
      </c>
      <c r="W109" s="8" t="str">
        <f aca="false">IF(ABS(V109)&gt;0.011,"CHECK","OK")</f>
        <v>OK</v>
      </c>
    </row>
    <row r="110" customFormat="false" ht="15" hidden="false" customHeight="false" outlineLevel="0" collapsed="false">
      <c r="A110" s="2" t="s">
        <v>95</v>
      </c>
      <c r="B110" s="2" t="s">
        <v>24</v>
      </c>
      <c r="C110" s="3" t="s">
        <v>96</v>
      </c>
      <c r="D110" s="2" t="n">
        <v>79</v>
      </c>
      <c r="E110" s="3" t="s">
        <v>254</v>
      </c>
      <c r="F110" s="3" t="s">
        <v>255</v>
      </c>
      <c r="G110" s="2" t="s">
        <v>45</v>
      </c>
      <c r="H110" s="4" t="n">
        <v>860</v>
      </c>
      <c r="I110" s="5" t="n">
        <v>2</v>
      </c>
      <c r="J110" s="2" t="s">
        <v>29</v>
      </c>
      <c r="K110" s="6" t="n">
        <v>0.38</v>
      </c>
      <c r="L110" s="4" t="n">
        <v>533.2</v>
      </c>
      <c r="M110" s="4" t="n">
        <v>903.73</v>
      </c>
      <c r="N110" s="6" t="n">
        <v>0.09</v>
      </c>
      <c r="O110" s="4" t="n">
        <v>81.33</v>
      </c>
      <c r="P110" s="6" t="n">
        <v>0.09</v>
      </c>
      <c r="Q110" s="4" t="n">
        <v>81.33</v>
      </c>
      <c r="R110" s="7" t="n">
        <f aca="false">M110+O110+P110</f>
        <v>985.15</v>
      </c>
      <c r="S110" s="7" t="n">
        <f aca="false">H110*I110</f>
        <v>1720</v>
      </c>
      <c r="T110" s="7" t="n">
        <f aca="false">IF(K110="","",ROUND(H110*(1-K110),2))</f>
        <v>533.2</v>
      </c>
      <c r="U110" s="7" t="n">
        <f aca="false">ROUND(L110*I110/1.18,2)</f>
        <v>903.73</v>
      </c>
      <c r="V110" s="7" t="n">
        <f aca="false">ROUND(M110-U110,2)</f>
        <v>0</v>
      </c>
      <c r="W110" s="8" t="str">
        <f aca="false">IF(ABS(V110)&gt;0.011,"CHECK","OK")</f>
        <v>OK</v>
      </c>
    </row>
    <row r="111" customFormat="false" ht="15" hidden="false" customHeight="false" outlineLevel="0" collapsed="false">
      <c r="A111" s="2" t="s">
        <v>95</v>
      </c>
      <c r="B111" s="2" t="s">
        <v>24</v>
      </c>
      <c r="C111" s="3" t="s">
        <v>96</v>
      </c>
      <c r="D111" s="2" t="n">
        <v>80</v>
      </c>
      <c r="E111" s="3" t="s">
        <v>256</v>
      </c>
      <c r="F111" s="3" t="s">
        <v>257</v>
      </c>
      <c r="G111" s="2" t="s">
        <v>45</v>
      </c>
      <c r="H111" s="4" t="n">
        <v>385</v>
      </c>
      <c r="I111" s="5" t="n">
        <v>4</v>
      </c>
      <c r="J111" s="2" t="s">
        <v>29</v>
      </c>
      <c r="K111" s="6" t="n">
        <v>0.38</v>
      </c>
      <c r="L111" s="4" t="n">
        <v>238.7</v>
      </c>
      <c r="M111" s="4" t="n">
        <v>809.15</v>
      </c>
      <c r="N111" s="6" t="n">
        <v>0.09</v>
      </c>
      <c r="O111" s="4" t="n">
        <v>72.82</v>
      </c>
      <c r="P111" s="6" t="n">
        <v>0.09</v>
      </c>
      <c r="Q111" s="4" t="n">
        <v>72.82</v>
      </c>
      <c r="R111" s="7" t="n">
        <f aca="false">M111+O111+P111</f>
        <v>882.06</v>
      </c>
      <c r="S111" s="7" t="n">
        <f aca="false">H111*I111</f>
        <v>1540</v>
      </c>
      <c r="T111" s="7" t="n">
        <f aca="false">IF(K111="","",ROUND(H111*(1-K111),2))</f>
        <v>238.7</v>
      </c>
      <c r="U111" s="7" t="n">
        <f aca="false">ROUND(L111*I111/1.18,2)</f>
        <v>809.15</v>
      </c>
      <c r="V111" s="7" t="n">
        <f aca="false">ROUND(M111-U111,2)</f>
        <v>0</v>
      </c>
      <c r="W111" s="8" t="str">
        <f aca="false">IF(ABS(V111)&gt;0.011,"CHECK","OK")</f>
        <v>OK</v>
      </c>
    </row>
    <row r="112" customFormat="false" ht="15" hidden="false" customHeight="false" outlineLevel="0" collapsed="false">
      <c r="A112" s="2" t="s">
        <v>95</v>
      </c>
      <c r="B112" s="2" t="s">
        <v>24</v>
      </c>
      <c r="C112" s="3" t="s">
        <v>96</v>
      </c>
      <c r="D112" s="2" t="n">
        <v>81</v>
      </c>
      <c r="E112" s="3" t="s">
        <v>258</v>
      </c>
      <c r="F112" s="3" t="s">
        <v>259</v>
      </c>
      <c r="G112" s="2" t="s">
        <v>45</v>
      </c>
      <c r="H112" s="4" t="n">
        <v>385</v>
      </c>
      <c r="I112" s="5" t="n">
        <v>4</v>
      </c>
      <c r="J112" s="2" t="s">
        <v>29</v>
      </c>
      <c r="K112" s="6" t="n">
        <v>0.38</v>
      </c>
      <c r="L112" s="4" t="n">
        <v>238.7</v>
      </c>
      <c r="M112" s="4" t="n">
        <v>809.15</v>
      </c>
      <c r="N112" s="6" t="n">
        <v>0.09</v>
      </c>
      <c r="O112" s="4" t="n">
        <v>72.82</v>
      </c>
      <c r="P112" s="6" t="n">
        <v>0.09</v>
      </c>
      <c r="Q112" s="4" t="n">
        <v>72.82</v>
      </c>
      <c r="R112" s="7" t="n">
        <f aca="false">M112+O112+P112</f>
        <v>882.06</v>
      </c>
      <c r="S112" s="7" t="n">
        <f aca="false">H112*I112</f>
        <v>1540</v>
      </c>
      <c r="T112" s="7" t="n">
        <f aca="false">IF(K112="","",ROUND(H112*(1-K112),2))</f>
        <v>238.7</v>
      </c>
      <c r="U112" s="7" t="n">
        <f aca="false">ROUND(L112*I112/1.18,2)</f>
        <v>809.15</v>
      </c>
      <c r="V112" s="7" t="n">
        <f aca="false">ROUND(M112-U112,2)</f>
        <v>0</v>
      </c>
      <c r="W112" s="8" t="str">
        <f aca="false">IF(ABS(V112)&gt;0.011,"CHECK","OK")</f>
        <v>OK</v>
      </c>
    </row>
    <row r="113" customFormat="false" ht="15" hidden="false" customHeight="false" outlineLevel="0" collapsed="false">
      <c r="A113" s="2" t="s">
        <v>95</v>
      </c>
      <c r="B113" s="2" t="s">
        <v>24</v>
      </c>
      <c r="C113" s="3" t="s">
        <v>96</v>
      </c>
      <c r="D113" s="2" t="n">
        <v>82</v>
      </c>
      <c r="E113" s="3" t="s">
        <v>260</v>
      </c>
      <c r="F113" s="3" t="s">
        <v>261</v>
      </c>
      <c r="G113" s="2" t="s">
        <v>45</v>
      </c>
      <c r="H113" s="4" t="n">
        <v>1050</v>
      </c>
      <c r="I113" s="5" t="n">
        <v>3</v>
      </c>
      <c r="J113" s="2" t="s">
        <v>29</v>
      </c>
      <c r="K113" s="6" t="n">
        <v>0.38</v>
      </c>
      <c r="L113" s="4" t="n">
        <v>651</v>
      </c>
      <c r="M113" s="4" t="n">
        <v>1655.08</v>
      </c>
      <c r="N113" s="6" t="n">
        <v>0.09</v>
      </c>
      <c r="O113" s="4" t="n">
        <v>148.96</v>
      </c>
      <c r="P113" s="6" t="n">
        <v>0.09</v>
      </c>
      <c r="Q113" s="4" t="n">
        <v>148.96</v>
      </c>
      <c r="R113" s="7" t="n">
        <f aca="false">M113+O113+P113</f>
        <v>1804.13</v>
      </c>
      <c r="S113" s="7" t="n">
        <f aca="false">H113*I113</f>
        <v>3150</v>
      </c>
      <c r="T113" s="7" t="n">
        <f aca="false">IF(K113="","",ROUND(H113*(1-K113),2))</f>
        <v>651</v>
      </c>
      <c r="U113" s="7" t="n">
        <f aca="false">ROUND(L113*I113/1.18,2)</f>
        <v>1655.08</v>
      </c>
      <c r="V113" s="7" t="n">
        <f aca="false">ROUND(M113-U113,2)</f>
        <v>0</v>
      </c>
      <c r="W113" s="8" t="str">
        <f aca="false">IF(ABS(V113)&gt;0.011,"CHECK","OK")</f>
        <v>OK</v>
      </c>
    </row>
    <row r="114" customFormat="false" ht="15" hidden="false" customHeight="false" outlineLevel="0" collapsed="false">
      <c r="A114" s="2" t="s">
        <v>95</v>
      </c>
      <c r="B114" s="2" t="s">
        <v>24</v>
      </c>
      <c r="C114" s="3" t="s">
        <v>96</v>
      </c>
      <c r="D114" s="2" t="n">
        <v>83</v>
      </c>
      <c r="E114" s="3" t="s">
        <v>262</v>
      </c>
      <c r="F114" s="3" t="s">
        <v>263</v>
      </c>
      <c r="G114" s="2" t="s">
        <v>45</v>
      </c>
      <c r="H114" s="4" t="n">
        <v>425</v>
      </c>
      <c r="I114" s="5" t="n">
        <v>4</v>
      </c>
      <c r="J114" s="2" t="s">
        <v>29</v>
      </c>
      <c r="K114" s="6" t="n">
        <v>0.38</v>
      </c>
      <c r="L114" s="4" t="n">
        <v>263.5</v>
      </c>
      <c r="M114" s="4" t="n">
        <v>893.22</v>
      </c>
      <c r="N114" s="6" t="n">
        <v>0.09</v>
      </c>
      <c r="O114" s="4" t="n">
        <v>80.39</v>
      </c>
      <c r="P114" s="6" t="n">
        <v>0.09</v>
      </c>
      <c r="Q114" s="4" t="n">
        <v>80.39</v>
      </c>
      <c r="R114" s="7" t="n">
        <f aca="false">M114+O114+P114</f>
        <v>973.7</v>
      </c>
      <c r="S114" s="7" t="n">
        <f aca="false">H114*I114</f>
        <v>1700</v>
      </c>
      <c r="T114" s="7" t="n">
        <f aca="false">IF(K114="","",ROUND(H114*(1-K114),2))</f>
        <v>263.5</v>
      </c>
      <c r="U114" s="7" t="n">
        <f aca="false">ROUND(L114*I114/1.18,2)</f>
        <v>893.22</v>
      </c>
      <c r="V114" s="7" t="n">
        <f aca="false">ROUND(M114-U114,2)</f>
        <v>0</v>
      </c>
      <c r="W114" s="8" t="str">
        <f aca="false">IF(ABS(V114)&gt;0.011,"CHECK","OK")</f>
        <v>OK</v>
      </c>
    </row>
    <row r="115" customFormat="false" ht="15" hidden="false" customHeight="false" outlineLevel="0" collapsed="false">
      <c r="A115" s="2" t="s">
        <v>95</v>
      </c>
      <c r="B115" s="2" t="s">
        <v>24</v>
      </c>
      <c r="C115" s="3" t="s">
        <v>96</v>
      </c>
      <c r="D115" s="2" t="n">
        <v>84</v>
      </c>
      <c r="E115" s="3" t="s">
        <v>264</v>
      </c>
      <c r="F115" s="3" t="s">
        <v>265</v>
      </c>
      <c r="G115" s="2" t="s">
        <v>45</v>
      </c>
      <c r="H115" s="4" t="n">
        <v>445</v>
      </c>
      <c r="I115" s="5" t="n">
        <v>2</v>
      </c>
      <c r="J115" s="2" t="s">
        <v>29</v>
      </c>
      <c r="K115" s="6" t="n">
        <v>0.38</v>
      </c>
      <c r="L115" s="4" t="n">
        <v>275.9</v>
      </c>
      <c r="M115" s="4" t="n">
        <v>467.63</v>
      </c>
      <c r="N115" s="6" t="n">
        <v>0.09</v>
      </c>
      <c r="O115" s="4" t="n">
        <v>42.08</v>
      </c>
      <c r="P115" s="6" t="n">
        <v>0.09</v>
      </c>
      <c r="Q115" s="4" t="n">
        <v>42.08</v>
      </c>
      <c r="R115" s="7" t="n">
        <f aca="false">M115+O115+P115</f>
        <v>509.8</v>
      </c>
      <c r="S115" s="7" t="n">
        <f aca="false">H115*I115</f>
        <v>890</v>
      </c>
      <c r="T115" s="7" t="n">
        <f aca="false">IF(K115="","",ROUND(H115*(1-K115),2))</f>
        <v>275.9</v>
      </c>
      <c r="U115" s="7" t="n">
        <f aca="false">ROUND(L115*I115/1.18,2)</f>
        <v>467.63</v>
      </c>
      <c r="V115" s="7" t="n">
        <f aca="false">ROUND(M115-U115,2)</f>
        <v>0</v>
      </c>
      <c r="W115" s="8" t="str">
        <f aca="false">IF(ABS(V115)&gt;0.011,"CHECK","OK")</f>
        <v>OK</v>
      </c>
    </row>
    <row r="116" customFormat="false" ht="15" hidden="false" customHeight="false" outlineLevel="0" collapsed="false">
      <c r="A116" s="2" t="s">
        <v>95</v>
      </c>
      <c r="B116" s="2" t="s">
        <v>24</v>
      </c>
      <c r="C116" s="3" t="s">
        <v>96</v>
      </c>
      <c r="D116" s="2" t="n">
        <v>85</v>
      </c>
      <c r="E116" s="3" t="s">
        <v>266</v>
      </c>
      <c r="F116" s="3" t="s">
        <v>267</v>
      </c>
      <c r="G116" s="2" t="s">
        <v>45</v>
      </c>
      <c r="H116" s="4" t="n">
        <v>520</v>
      </c>
      <c r="I116" s="5" t="n">
        <v>5</v>
      </c>
      <c r="J116" s="2"/>
      <c r="K116" s="6" t="n">
        <v>0.38</v>
      </c>
      <c r="L116" s="4" t="n">
        <v>322.4</v>
      </c>
      <c r="M116" s="4" t="n">
        <v>1366.1</v>
      </c>
      <c r="N116" s="6" t="n">
        <v>0.09</v>
      </c>
      <c r="O116" s="4" t="n">
        <v>122.95</v>
      </c>
      <c r="P116" s="6" t="n">
        <v>0.09</v>
      </c>
      <c r="Q116" s="4" t="n">
        <v>122.95</v>
      </c>
      <c r="R116" s="7" t="n">
        <f aca="false">M116+O116+P116</f>
        <v>1489.14</v>
      </c>
      <c r="S116" s="7" t="n">
        <f aca="false">H116*I116</f>
        <v>2600</v>
      </c>
      <c r="T116" s="7" t="n">
        <f aca="false">IF(K116="","",ROUND(H116*(1-K116),2))</f>
        <v>322.4</v>
      </c>
      <c r="U116" s="7" t="n">
        <f aca="false">ROUND(L116*I116/1.18,2)</f>
        <v>1366.1</v>
      </c>
      <c r="V116" s="7" t="n">
        <f aca="false">ROUND(M116-U116,2)</f>
        <v>0</v>
      </c>
      <c r="W116" s="8" t="str">
        <f aca="false">IF(ABS(V116)&gt;0.011,"CHECK","OK")</f>
        <v>OK</v>
      </c>
    </row>
    <row r="117" customFormat="false" ht="15" hidden="false" customHeight="false" outlineLevel="0" collapsed="false">
      <c r="A117" s="2" t="s">
        <v>95</v>
      </c>
      <c r="B117" s="2" t="s">
        <v>24</v>
      </c>
      <c r="C117" s="3" t="s">
        <v>96</v>
      </c>
      <c r="D117" s="2" t="n">
        <v>86</v>
      </c>
      <c r="E117" s="3" t="s">
        <v>268</v>
      </c>
      <c r="F117" s="3" t="s">
        <v>267</v>
      </c>
      <c r="G117" s="2" t="s">
        <v>45</v>
      </c>
      <c r="H117" s="4" t="n">
        <v>520</v>
      </c>
      <c r="I117" s="5" t="n">
        <v>5</v>
      </c>
      <c r="J117" s="2"/>
      <c r="K117" s="6" t="n">
        <v>0.38</v>
      </c>
      <c r="L117" s="4" t="n">
        <v>322.4</v>
      </c>
      <c r="M117" s="4" t="n">
        <v>1366.1</v>
      </c>
      <c r="N117" s="6" t="n">
        <v>0.09</v>
      </c>
      <c r="O117" s="4" t="n">
        <v>122.95</v>
      </c>
      <c r="P117" s="6" t="n">
        <v>0.09</v>
      </c>
      <c r="Q117" s="4" t="n">
        <v>122.95</v>
      </c>
      <c r="R117" s="7" t="n">
        <f aca="false">M117+O117+P117</f>
        <v>1489.14</v>
      </c>
      <c r="S117" s="7" t="n">
        <f aca="false">H117*I117</f>
        <v>2600</v>
      </c>
      <c r="T117" s="7" t="n">
        <f aca="false">IF(K117="","",ROUND(H117*(1-K117),2))</f>
        <v>322.4</v>
      </c>
      <c r="U117" s="7" t="n">
        <f aca="false">ROUND(L117*I117/1.18,2)</f>
        <v>1366.1</v>
      </c>
      <c r="V117" s="7" t="n">
        <f aca="false">ROUND(M117-U117,2)</f>
        <v>0</v>
      </c>
      <c r="W117" s="8" t="str">
        <f aca="false">IF(ABS(V117)&gt;0.011,"CHECK","OK")</f>
        <v>OK</v>
      </c>
    </row>
    <row r="118" customFormat="false" ht="15" hidden="false" customHeight="false" outlineLevel="0" collapsed="false">
      <c r="A118" s="2" t="s">
        <v>95</v>
      </c>
      <c r="B118" s="2" t="s">
        <v>24</v>
      </c>
      <c r="C118" s="3" t="s">
        <v>96</v>
      </c>
      <c r="D118" s="2" t="n">
        <v>87</v>
      </c>
      <c r="E118" s="3" t="s">
        <v>269</v>
      </c>
      <c r="F118" s="3" t="s">
        <v>270</v>
      </c>
      <c r="G118" s="2" t="s">
        <v>45</v>
      </c>
      <c r="H118" s="4" t="n">
        <v>1080</v>
      </c>
      <c r="I118" s="5" t="n">
        <v>3</v>
      </c>
      <c r="J118" s="2" t="s">
        <v>29</v>
      </c>
      <c r="K118" s="6" t="n">
        <v>0.38</v>
      </c>
      <c r="L118" s="4" t="n">
        <v>669.6</v>
      </c>
      <c r="M118" s="4" t="n">
        <v>1702.37</v>
      </c>
      <c r="N118" s="6" t="n">
        <v>0.09</v>
      </c>
      <c r="O118" s="4" t="n">
        <v>153.21</v>
      </c>
      <c r="P118" s="6" t="n">
        <v>0.09</v>
      </c>
      <c r="Q118" s="4" t="n">
        <v>153.21</v>
      </c>
      <c r="R118" s="7" t="n">
        <f aca="false">M118+O118+P118</f>
        <v>1855.67</v>
      </c>
      <c r="S118" s="7" t="n">
        <f aca="false">H118*I118</f>
        <v>3240</v>
      </c>
      <c r="T118" s="7" t="n">
        <f aca="false">IF(K118="","",ROUND(H118*(1-K118),2))</f>
        <v>669.6</v>
      </c>
      <c r="U118" s="7" t="n">
        <f aca="false">ROUND(L118*I118/1.18,2)</f>
        <v>1702.37</v>
      </c>
      <c r="V118" s="7" t="n">
        <f aca="false">ROUND(M118-U118,2)</f>
        <v>0</v>
      </c>
      <c r="W118" s="8" t="str">
        <f aca="false">IF(ABS(V118)&gt;0.011,"CHECK","OK")</f>
        <v>OK</v>
      </c>
    </row>
    <row r="119" customFormat="false" ht="15" hidden="false" customHeight="false" outlineLevel="0" collapsed="false">
      <c r="A119" s="2" t="s">
        <v>95</v>
      </c>
      <c r="B119" s="2" t="s">
        <v>24</v>
      </c>
      <c r="C119" s="3" t="s">
        <v>96</v>
      </c>
      <c r="D119" s="2" t="n">
        <v>88</v>
      </c>
      <c r="E119" s="3" t="s">
        <v>271</v>
      </c>
      <c r="F119" s="3" t="s">
        <v>272</v>
      </c>
      <c r="G119" s="2" t="s">
        <v>45</v>
      </c>
      <c r="H119" s="4" t="n">
        <v>995</v>
      </c>
      <c r="I119" s="5" t="n">
        <v>2</v>
      </c>
      <c r="J119" s="2" t="s">
        <v>40</v>
      </c>
      <c r="K119" s="6" t="n">
        <v>0.38</v>
      </c>
      <c r="L119" s="4" t="n">
        <v>616.9</v>
      </c>
      <c r="M119" s="4" t="n">
        <v>1045.59</v>
      </c>
      <c r="N119" s="6" t="n">
        <v>0.09</v>
      </c>
      <c r="O119" s="4" t="n">
        <v>94.1</v>
      </c>
      <c r="P119" s="6" t="n">
        <v>0.09</v>
      </c>
      <c r="Q119" s="4" t="n">
        <v>94.1</v>
      </c>
      <c r="R119" s="7" t="n">
        <f aca="false">M119+O119+P119</f>
        <v>1139.78</v>
      </c>
      <c r="S119" s="7" t="n">
        <f aca="false">H119*I119</f>
        <v>1990</v>
      </c>
      <c r="T119" s="7" t="n">
        <f aca="false">IF(K119="","",ROUND(H119*(1-K119),2))</f>
        <v>616.9</v>
      </c>
      <c r="U119" s="7" t="n">
        <f aca="false">ROUND(L119*I119/1.18,2)</f>
        <v>1045.59</v>
      </c>
      <c r="V119" s="7" t="n">
        <f aca="false">ROUND(M119-U119,2)</f>
        <v>0</v>
      </c>
      <c r="W119" s="8" t="str">
        <f aca="false">IF(ABS(V119)&gt;0.011,"CHECK","OK")</f>
        <v>OK</v>
      </c>
    </row>
    <row r="120" customFormat="false" ht="15" hidden="false" customHeight="false" outlineLevel="0" collapsed="false">
      <c r="A120" s="2" t="s">
        <v>95</v>
      </c>
      <c r="B120" s="2" t="s">
        <v>24</v>
      </c>
      <c r="C120" s="3" t="s">
        <v>96</v>
      </c>
      <c r="D120" s="2" t="n">
        <v>89</v>
      </c>
      <c r="E120" s="3" t="s">
        <v>273</v>
      </c>
      <c r="F120" s="3" t="s">
        <v>274</v>
      </c>
      <c r="G120" s="2" t="s">
        <v>45</v>
      </c>
      <c r="H120" s="4" t="n">
        <v>340</v>
      </c>
      <c r="I120" s="5" t="n">
        <v>5</v>
      </c>
      <c r="J120" s="2" t="s">
        <v>40</v>
      </c>
      <c r="K120" s="6" t="n">
        <v>0.38</v>
      </c>
      <c r="L120" s="4" t="n">
        <v>210.8</v>
      </c>
      <c r="M120" s="4" t="n">
        <v>893.22</v>
      </c>
      <c r="N120" s="6" t="n">
        <v>0.09</v>
      </c>
      <c r="O120" s="4" t="n">
        <v>80.39</v>
      </c>
      <c r="P120" s="6" t="n">
        <v>0.09</v>
      </c>
      <c r="Q120" s="4" t="n">
        <v>80.39</v>
      </c>
      <c r="R120" s="7" t="n">
        <f aca="false">M120+O120+P120</f>
        <v>973.7</v>
      </c>
      <c r="S120" s="7" t="n">
        <f aca="false">H120*I120</f>
        <v>1700</v>
      </c>
      <c r="T120" s="7" t="n">
        <f aca="false">IF(K120="","",ROUND(H120*(1-K120),2))</f>
        <v>210.8</v>
      </c>
      <c r="U120" s="7" t="n">
        <f aca="false">ROUND(L120*I120/1.18,2)</f>
        <v>893.22</v>
      </c>
      <c r="V120" s="7" t="n">
        <f aca="false">ROUND(M120-U120,2)</f>
        <v>0</v>
      </c>
      <c r="W120" s="8" t="str">
        <f aca="false">IF(ABS(V120)&gt;0.011,"CHECK","OK")</f>
        <v>OK</v>
      </c>
    </row>
    <row r="121" customFormat="false" ht="15" hidden="false" customHeight="false" outlineLevel="0" collapsed="false">
      <c r="A121" s="2" t="s">
        <v>95</v>
      </c>
      <c r="B121" s="2" t="s">
        <v>24</v>
      </c>
      <c r="C121" s="3" t="s">
        <v>96</v>
      </c>
      <c r="D121" s="2" t="n">
        <v>90</v>
      </c>
      <c r="E121" s="3" t="s">
        <v>275</v>
      </c>
      <c r="F121" s="3" t="s">
        <v>276</v>
      </c>
      <c r="G121" s="2" t="s">
        <v>45</v>
      </c>
      <c r="H121" s="4" t="n">
        <v>340</v>
      </c>
      <c r="I121" s="5" t="n">
        <v>5</v>
      </c>
      <c r="J121" s="2" t="s">
        <v>29</v>
      </c>
      <c r="K121" s="6" t="n">
        <v>0.38</v>
      </c>
      <c r="L121" s="4" t="n">
        <v>210.8</v>
      </c>
      <c r="M121" s="4" t="n">
        <v>893.22</v>
      </c>
      <c r="N121" s="6" t="n">
        <v>0.09</v>
      </c>
      <c r="O121" s="4" t="n">
        <v>80.39</v>
      </c>
      <c r="P121" s="6" t="n">
        <v>0.09</v>
      </c>
      <c r="Q121" s="4" t="n">
        <v>80.39</v>
      </c>
      <c r="R121" s="7" t="n">
        <f aca="false">M121+O121+P121</f>
        <v>973.7</v>
      </c>
      <c r="S121" s="7" t="n">
        <f aca="false">H121*I121</f>
        <v>1700</v>
      </c>
      <c r="T121" s="7" t="n">
        <f aca="false">IF(K121="","",ROUND(H121*(1-K121),2))</f>
        <v>210.8</v>
      </c>
      <c r="U121" s="7" t="n">
        <f aca="false">ROUND(L121*I121/1.18,2)</f>
        <v>893.22</v>
      </c>
      <c r="V121" s="7" t="n">
        <f aca="false">ROUND(M121-U121,2)</f>
        <v>0</v>
      </c>
      <c r="W121" s="8" t="str">
        <f aca="false">IF(ABS(V121)&gt;0.011,"CHECK","OK")</f>
        <v>OK</v>
      </c>
    </row>
    <row r="122" customFormat="false" ht="15" hidden="false" customHeight="false" outlineLevel="0" collapsed="false">
      <c r="A122" s="2" t="s">
        <v>95</v>
      </c>
      <c r="B122" s="2" t="s">
        <v>24</v>
      </c>
      <c r="C122" s="3" t="s">
        <v>96</v>
      </c>
      <c r="D122" s="2" t="n">
        <v>91</v>
      </c>
      <c r="E122" s="3" t="s">
        <v>277</v>
      </c>
      <c r="F122" s="3" t="s">
        <v>278</v>
      </c>
      <c r="G122" s="2" t="s">
        <v>45</v>
      </c>
      <c r="H122" s="4" t="n">
        <v>445</v>
      </c>
      <c r="I122" s="5" t="n">
        <v>4</v>
      </c>
      <c r="J122" s="2" t="s">
        <v>29</v>
      </c>
      <c r="K122" s="6" t="n">
        <v>0.38</v>
      </c>
      <c r="L122" s="4" t="n">
        <v>275.9</v>
      </c>
      <c r="M122" s="4" t="n">
        <v>935.25</v>
      </c>
      <c r="N122" s="6" t="n">
        <v>0.09</v>
      </c>
      <c r="O122" s="4" t="n">
        <v>84.17</v>
      </c>
      <c r="P122" s="6" t="n">
        <v>0.09</v>
      </c>
      <c r="Q122" s="4" t="n">
        <v>84.17</v>
      </c>
      <c r="R122" s="7" t="n">
        <f aca="false">M122+O122+P122</f>
        <v>1019.51</v>
      </c>
      <c r="S122" s="7" t="n">
        <f aca="false">H122*I122</f>
        <v>1780</v>
      </c>
      <c r="T122" s="7" t="n">
        <f aca="false">IF(K122="","",ROUND(H122*(1-K122),2))</f>
        <v>275.9</v>
      </c>
      <c r="U122" s="7" t="n">
        <f aca="false">ROUND(L122*I122/1.18,2)</f>
        <v>935.25</v>
      </c>
      <c r="V122" s="7" t="n">
        <f aca="false">ROUND(M122-U122,2)</f>
        <v>0</v>
      </c>
      <c r="W122" s="8" t="str">
        <f aca="false">IF(ABS(V122)&gt;0.011,"CHECK","OK")</f>
        <v>OK</v>
      </c>
    </row>
    <row r="123" customFormat="false" ht="15" hidden="false" customHeight="false" outlineLevel="0" collapsed="false">
      <c r="A123" s="2" t="s">
        <v>95</v>
      </c>
      <c r="B123" s="2" t="s">
        <v>24</v>
      </c>
      <c r="C123" s="3" t="s">
        <v>96</v>
      </c>
      <c r="D123" s="2" t="n">
        <v>92</v>
      </c>
      <c r="E123" s="3" t="s">
        <v>279</v>
      </c>
      <c r="F123" s="3" t="s">
        <v>280</v>
      </c>
      <c r="G123" s="2" t="s">
        <v>45</v>
      </c>
      <c r="H123" s="4" t="n">
        <v>445</v>
      </c>
      <c r="I123" s="5" t="n">
        <v>4</v>
      </c>
      <c r="J123" s="2" t="s">
        <v>29</v>
      </c>
      <c r="K123" s="6" t="n">
        <v>0.38</v>
      </c>
      <c r="L123" s="4" t="n">
        <v>275.9</v>
      </c>
      <c r="M123" s="4" t="n">
        <v>935.25</v>
      </c>
      <c r="N123" s="6" t="n">
        <v>0.09</v>
      </c>
      <c r="O123" s="4" t="n">
        <v>84.17</v>
      </c>
      <c r="P123" s="6" t="n">
        <v>0.09</v>
      </c>
      <c r="Q123" s="4" t="n">
        <v>84.17</v>
      </c>
      <c r="R123" s="7" t="n">
        <f aca="false">M123+O123+P123</f>
        <v>1019.51</v>
      </c>
      <c r="S123" s="7" t="n">
        <f aca="false">H123*I123</f>
        <v>1780</v>
      </c>
      <c r="T123" s="7" t="n">
        <f aca="false">IF(K123="","",ROUND(H123*(1-K123),2))</f>
        <v>275.9</v>
      </c>
      <c r="U123" s="7" t="n">
        <f aca="false">ROUND(L123*I123/1.18,2)</f>
        <v>935.25</v>
      </c>
      <c r="V123" s="7" t="n">
        <f aca="false">ROUND(M123-U123,2)</f>
        <v>0</v>
      </c>
      <c r="W123" s="8" t="str">
        <f aca="false">IF(ABS(V123)&gt;0.011,"CHECK","OK")</f>
        <v>OK</v>
      </c>
    </row>
    <row r="124" customFormat="false" ht="15" hidden="false" customHeight="false" outlineLevel="0" collapsed="false">
      <c r="A124" s="2" t="s">
        <v>95</v>
      </c>
      <c r="B124" s="2" t="s">
        <v>24</v>
      </c>
      <c r="C124" s="3" t="s">
        <v>96</v>
      </c>
      <c r="D124" s="2" t="n">
        <v>93</v>
      </c>
      <c r="E124" s="3" t="s">
        <v>281</v>
      </c>
      <c r="F124" s="3" t="s">
        <v>282</v>
      </c>
      <c r="G124" s="2" t="s">
        <v>45</v>
      </c>
      <c r="H124" s="4" t="n">
        <v>435</v>
      </c>
      <c r="I124" s="5" t="n">
        <v>4</v>
      </c>
      <c r="J124" s="2" t="s">
        <v>29</v>
      </c>
      <c r="K124" s="6" t="n">
        <v>0.38</v>
      </c>
      <c r="L124" s="4" t="n">
        <v>269.7</v>
      </c>
      <c r="M124" s="4" t="n">
        <v>914.24</v>
      </c>
      <c r="N124" s="6" t="n">
        <v>0.09</v>
      </c>
      <c r="O124" s="4" t="n">
        <v>82.28</v>
      </c>
      <c r="P124" s="6" t="n">
        <v>0.09</v>
      </c>
      <c r="Q124" s="4" t="n">
        <v>82.28</v>
      </c>
      <c r="R124" s="7" t="n">
        <f aca="false">M124+O124+P124</f>
        <v>996.61</v>
      </c>
      <c r="S124" s="7" t="n">
        <f aca="false">H124*I124</f>
        <v>1740</v>
      </c>
      <c r="T124" s="7" t="n">
        <f aca="false">IF(K124="","",ROUND(H124*(1-K124),2))</f>
        <v>269.7</v>
      </c>
      <c r="U124" s="7" t="n">
        <f aca="false">ROUND(L124*I124/1.18,2)</f>
        <v>914.24</v>
      </c>
      <c r="V124" s="7" t="n">
        <f aca="false">ROUND(M124-U124,2)</f>
        <v>0</v>
      </c>
      <c r="W124" s="8" t="str">
        <f aca="false">IF(ABS(V124)&gt;0.011,"CHECK","OK")</f>
        <v>OK</v>
      </c>
    </row>
    <row r="125" customFormat="false" ht="15" hidden="false" customHeight="false" outlineLevel="0" collapsed="false">
      <c r="A125" s="2" t="s">
        <v>95</v>
      </c>
      <c r="B125" s="2" t="s">
        <v>24</v>
      </c>
      <c r="C125" s="3" t="s">
        <v>96</v>
      </c>
      <c r="D125" s="2" t="n">
        <v>94</v>
      </c>
      <c r="E125" s="3" t="s">
        <v>283</v>
      </c>
      <c r="F125" s="3" t="s">
        <v>284</v>
      </c>
      <c r="G125" s="2" t="s">
        <v>45</v>
      </c>
      <c r="H125" s="4" t="n">
        <v>435</v>
      </c>
      <c r="I125" s="5" t="n">
        <v>4</v>
      </c>
      <c r="J125" s="2" t="s">
        <v>29</v>
      </c>
      <c r="K125" s="6" t="n">
        <v>0.38</v>
      </c>
      <c r="L125" s="4" t="n">
        <v>269.7</v>
      </c>
      <c r="M125" s="4" t="n">
        <v>914.24</v>
      </c>
      <c r="N125" s="6" t="n">
        <v>0.09</v>
      </c>
      <c r="O125" s="4" t="n">
        <v>82.28</v>
      </c>
      <c r="P125" s="6" t="n">
        <v>0.09</v>
      </c>
      <c r="Q125" s="4" t="n">
        <v>82.28</v>
      </c>
      <c r="R125" s="7" t="n">
        <f aca="false">M125+O125+P125</f>
        <v>996.61</v>
      </c>
      <c r="S125" s="7" t="n">
        <f aca="false">H125*I125</f>
        <v>1740</v>
      </c>
      <c r="T125" s="7" t="n">
        <f aca="false">IF(K125="","",ROUND(H125*(1-K125),2))</f>
        <v>269.7</v>
      </c>
      <c r="U125" s="7" t="n">
        <f aca="false">ROUND(L125*I125/1.18,2)</f>
        <v>914.24</v>
      </c>
      <c r="V125" s="7" t="n">
        <f aca="false">ROUND(M125-U125,2)</f>
        <v>0</v>
      </c>
      <c r="W125" s="8" t="str">
        <f aca="false">IF(ABS(V125)&gt;0.011,"CHECK","OK")</f>
        <v>OK</v>
      </c>
    </row>
    <row r="126" customFormat="false" ht="15" hidden="false" customHeight="false" outlineLevel="0" collapsed="false">
      <c r="A126" s="2" t="s">
        <v>285</v>
      </c>
      <c r="B126" s="2" t="s">
        <v>24</v>
      </c>
      <c r="C126" s="3" t="s">
        <v>286</v>
      </c>
      <c r="D126" s="2" t="n">
        <v>1</v>
      </c>
      <c r="E126" s="3" t="s">
        <v>287</v>
      </c>
      <c r="F126" s="3" t="s">
        <v>288</v>
      </c>
      <c r="G126" s="2" t="s">
        <v>289</v>
      </c>
      <c r="H126" s="4" t="n">
        <v>1141</v>
      </c>
      <c r="I126" s="5" t="n">
        <v>2</v>
      </c>
      <c r="J126" s="2" t="s">
        <v>29</v>
      </c>
      <c r="K126" s="6" t="n">
        <v>0.35</v>
      </c>
      <c r="L126" s="4" t="n">
        <v>741.65</v>
      </c>
      <c r="M126" s="4" t="n">
        <v>1257.03</v>
      </c>
      <c r="N126" s="6" t="n">
        <v>0.09</v>
      </c>
      <c r="O126" s="4" t="n">
        <v>113.13</v>
      </c>
      <c r="P126" s="6" t="n">
        <v>0.09</v>
      </c>
      <c r="Q126" s="4" t="n">
        <v>113.13</v>
      </c>
      <c r="R126" s="7" t="n">
        <f aca="false">M126+O126+P126</f>
        <v>1370.25</v>
      </c>
      <c r="S126" s="7" t="n">
        <f aca="false">H126*I126</f>
        <v>2282</v>
      </c>
      <c r="T126" s="7" t="n">
        <f aca="false">IF(K126="","",ROUND(H126*(1-K126),2))</f>
        <v>741.65</v>
      </c>
      <c r="U126" s="7" t="n">
        <f aca="false">ROUND(L126*I126/1.18,2)</f>
        <v>1257.03</v>
      </c>
      <c r="V126" s="7" t="n">
        <f aca="false">ROUND(M126-U126,2)</f>
        <v>0</v>
      </c>
      <c r="W126" s="8" t="str">
        <f aca="false">IF(ABS(V126)&gt;0.011,"CHECK","OK")</f>
        <v>OK</v>
      </c>
    </row>
    <row r="127" customFormat="false" ht="15" hidden="false" customHeight="false" outlineLevel="0" collapsed="false">
      <c r="A127" s="2" t="s">
        <v>285</v>
      </c>
      <c r="B127" s="2" t="s">
        <v>24</v>
      </c>
      <c r="C127" s="3" t="s">
        <v>286</v>
      </c>
      <c r="D127" s="2" t="n">
        <v>2</v>
      </c>
      <c r="E127" s="3" t="s">
        <v>290</v>
      </c>
      <c r="F127" s="3" t="s">
        <v>291</v>
      </c>
      <c r="G127" s="2" t="s">
        <v>289</v>
      </c>
      <c r="H127" s="4" t="n">
        <v>1097</v>
      </c>
      <c r="I127" s="5" t="n">
        <v>2</v>
      </c>
      <c r="J127" s="2" t="s">
        <v>29</v>
      </c>
      <c r="K127" s="6" t="n">
        <v>0.35</v>
      </c>
      <c r="L127" s="4" t="n">
        <v>713.05</v>
      </c>
      <c r="M127" s="4" t="n">
        <v>1208.56</v>
      </c>
      <c r="N127" s="6" t="n">
        <v>0.09</v>
      </c>
      <c r="O127" s="4" t="n">
        <v>108.77</v>
      </c>
      <c r="P127" s="6" t="n">
        <v>0.09</v>
      </c>
      <c r="Q127" s="4" t="n">
        <v>108.77</v>
      </c>
      <c r="R127" s="7" t="n">
        <f aca="false">M127+O127+P127</f>
        <v>1317.42</v>
      </c>
      <c r="S127" s="7" t="n">
        <f aca="false">H127*I127</f>
        <v>2194</v>
      </c>
      <c r="T127" s="7" t="n">
        <f aca="false">IF(K127="","",ROUND(H127*(1-K127),2))</f>
        <v>713.05</v>
      </c>
      <c r="U127" s="7" t="n">
        <f aca="false">ROUND(L127*I127/1.18,2)</f>
        <v>1208.56</v>
      </c>
      <c r="V127" s="7" t="n">
        <f aca="false">ROUND(M127-U127,2)</f>
        <v>0</v>
      </c>
      <c r="W127" s="8" t="str">
        <f aca="false">IF(ABS(V127)&gt;0.011,"CHECK","OK")</f>
        <v>OK</v>
      </c>
    </row>
    <row r="128" customFormat="false" ht="15" hidden="false" customHeight="false" outlineLevel="0" collapsed="false">
      <c r="A128" s="2" t="s">
        <v>285</v>
      </c>
      <c r="B128" s="2" t="s">
        <v>24</v>
      </c>
      <c r="C128" s="3" t="s">
        <v>292</v>
      </c>
      <c r="D128" s="2" t="n">
        <v>3</v>
      </c>
      <c r="E128" s="3" t="s">
        <v>293</v>
      </c>
      <c r="F128" s="3" t="s">
        <v>294</v>
      </c>
      <c r="G128" s="2" t="s">
        <v>295</v>
      </c>
      <c r="H128" s="4" t="n">
        <v>339</v>
      </c>
      <c r="I128" s="5" t="n">
        <v>2</v>
      </c>
      <c r="J128" s="2" t="s">
        <v>40</v>
      </c>
      <c r="K128" s="6" t="n">
        <v>0.45</v>
      </c>
      <c r="L128" s="4" t="n">
        <v>186.45</v>
      </c>
      <c r="M128" s="4" t="n">
        <v>316.02</v>
      </c>
      <c r="N128" s="6" t="n">
        <v>0.09</v>
      </c>
      <c r="O128" s="4" t="n">
        <v>28.44</v>
      </c>
      <c r="P128" s="6" t="n">
        <v>0.09</v>
      </c>
      <c r="Q128" s="4" t="n">
        <v>28.44</v>
      </c>
      <c r="R128" s="7" t="n">
        <f aca="false">M128+O128+P128</f>
        <v>344.55</v>
      </c>
      <c r="S128" s="7" t="n">
        <f aca="false">H128*I128</f>
        <v>678</v>
      </c>
      <c r="T128" s="7" t="n">
        <f aca="false">IF(K128="","",ROUND(H128*(1-K128),2))</f>
        <v>186.45</v>
      </c>
      <c r="U128" s="7" t="n">
        <f aca="false">ROUND(L128*I128/1.18,2)</f>
        <v>316.02</v>
      </c>
      <c r="V128" s="7" t="n">
        <f aca="false">ROUND(M128-U128,2)</f>
        <v>0</v>
      </c>
      <c r="W128" s="8" t="str">
        <f aca="false">IF(ABS(V128)&gt;0.011,"CHECK","OK")</f>
        <v>OK</v>
      </c>
    </row>
    <row r="129" customFormat="false" ht="15" hidden="false" customHeight="false" outlineLevel="0" collapsed="false">
      <c r="A129" s="2" t="s">
        <v>285</v>
      </c>
      <c r="B129" s="2" t="s">
        <v>24</v>
      </c>
      <c r="C129" s="3" t="s">
        <v>296</v>
      </c>
      <c r="D129" s="2" t="n">
        <v>4</v>
      </c>
      <c r="E129" s="3" t="s">
        <v>297</v>
      </c>
      <c r="F129" s="3" t="s">
        <v>298</v>
      </c>
      <c r="G129" s="2" t="s">
        <v>33</v>
      </c>
      <c r="H129" s="4" t="n">
        <v>102</v>
      </c>
      <c r="I129" s="5" t="n">
        <v>5</v>
      </c>
      <c r="J129" s="2" t="s">
        <v>40</v>
      </c>
      <c r="K129" s="6" t="n">
        <v>0.35</v>
      </c>
      <c r="L129" s="4" t="n">
        <v>66.3</v>
      </c>
      <c r="M129" s="4" t="n">
        <v>280.93</v>
      </c>
      <c r="N129" s="6" t="n">
        <v>0.09</v>
      </c>
      <c r="O129" s="4" t="n">
        <v>25.28</v>
      </c>
      <c r="P129" s="6" t="n">
        <v>0.09</v>
      </c>
      <c r="Q129" s="4" t="n">
        <v>25.28</v>
      </c>
      <c r="R129" s="7" t="n">
        <f aca="false">M129+O129+P129</f>
        <v>306.3</v>
      </c>
      <c r="S129" s="7" t="n">
        <f aca="false">H129*I129</f>
        <v>510</v>
      </c>
      <c r="T129" s="7" t="n">
        <f aca="false">IF(K129="","",ROUND(H129*(1-K129),2))</f>
        <v>66.3</v>
      </c>
      <c r="U129" s="7" t="n">
        <f aca="false">ROUND(L129*I129/1.18,2)</f>
        <v>280.93</v>
      </c>
      <c r="V129" s="7" t="n">
        <f aca="false">ROUND(M129-U129,2)</f>
        <v>0</v>
      </c>
      <c r="W129" s="8" t="str">
        <f aca="false">IF(ABS(V129)&gt;0.011,"CHECK","OK")</f>
        <v>OK</v>
      </c>
    </row>
    <row r="130" customFormat="false" ht="15" hidden="false" customHeight="false" outlineLevel="0" collapsed="false">
      <c r="A130" s="2" t="s">
        <v>285</v>
      </c>
      <c r="B130" s="2" t="s">
        <v>24</v>
      </c>
      <c r="C130" s="3" t="s">
        <v>296</v>
      </c>
      <c r="D130" s="2" t="n">
        <v>5</v>
      </c>
      <c r="E130" s="3" t="s">
        <v>299</v>
      </c>
      <c r="F130" s="3" t="s">
        <v>300</v>
      </c>
      <c r="G130" s="2" t="s">
        <v>33</v>
      </c>
      <c r="H130" s="4" t="n">
        <v>130</v>
      </c>
      <c r="I130" s="5" t="n">
        <v>5</v>
      </c>
      <c r="J130" s="2" t="s">
        <v>40</v>
      </c>
      <c r="K130" s="6" t="n">
        <v>0.35</v>
      </c>
      <c r="L130" s="4" t="n">
        <v>84.5</v>
      </c>
      <c r="M130" s="4" t="n">
        <v>358.05</v>
      </c>
      <c r="N130" s="6" t="n">
        <v>0.09</v>
      </c>
      <c r="O130" s="4" t="n">
        <v>32.22</v>
      </c>
      <c r="P130" s="6" t="n">
        <v>0.09</v>
      </c>
      <c r="Q130" s="4" t="n">
        <v>32.22</v>
      </c>
      <c r="R130" s="7" t="n">
        <f aca="false">M130+O130+P130</f>
        <v>390.36</v>
      </c>
      <c r="S130" s="7" t="n">
        <f aca="false">H130*I130</f>
        <v>650</v>
      </c>
      <c r="T130" s="7" t="n">
        <f aca="false">IF(K130="","",ROUND(H130*(1-K130),2))</f>
        <v>84.5</v>
      </c>
      <c r="U130" s="7" t="n">
        <f aca="false">ROUND(L130*I130/1.18,2)</f>
        <v>358.05</v>
      </c>
      <c r="V130" s="7" t="n">
        <f aca="false">ROUND(M130-U130,2)</f>
        <v>0</v>
      </c>
      <c r="W130" s="8" t="str">
        <f aca="false">IF(ABS(V130)&gt;0.011,"CHECK","OK")</f>
        <v>OK</v>
      </c>
    </row>
    <row r="131" customFormat="false" ht="15" hidden="false" customHeight="false" outlineLevel="0" collapsed="false">
      <c r="A131" s="2" t="s">
        <v>285</v>
      </c>
      <c r="B131" s="2" t="s">
        <v>24</v>
      </c>
      <c r="C131" s="3" t="s">
        <v>296</v>
      </c>
      <c r="D131" s="2" t="n">
        <v>6</v>
      </c>
      <c r="E131" s="3" t="s">
        <v>301</v>
      </c>
      <c r="F131" s="3" t="s">
        <v>302</v>
      </c>
      <c r="G131" s="2" t="s">
        <v>33</v>
      </c>
      <c r="H131" s="4" t="n">
        <v>56</v>
      </c>
      <c r="I131" s="5" t="n">
        <v>10</v>
      </c>
      <c r="J131" s="2" t="s">
        <v>40</v>
      </c>
      <c r="K131" s="6" t="n">
        <v>0.35</v>
      </c>
      <c r="L131" s="4" t="n">
        <v>36.4</v>
      </c>
      <c r="M131" s="4" t="n">
        <v>308.47</v>
      </c>
      <c r="N131" s="6" t="n">
        <v>0.09</v>
      </c>
      <c r="O131" s="4" t="n">
        <v>27.76</v>
      </c>
      <c r="P131" s="6" t="n">
        <v>0.09</v>
      </c>
      <c r="Q131" s="4" t="n">
        <v>27.76</v>
      </c>
      <c r="R131" s="7" t="n">
        <f aca="false">M131+O131+P131</f>
        <v>336.32</v>
      </c>
      <c r="S131" s="7" t="n">
        <f aca="false">H131*I131</f>
        <v>560</v>
      </c>
      <c r="T131" s="7" t="n">
        <f aca="false">IF(K131="","",ROUND(H131*(1-K131),2))</f>
        <v>36.4</v>
      </c>
      <c r="U131" s="7" t="n">
        <f aca="false">ROUND(L131*I131/1.18,2)</f>
        <v>308.47</v>
      </c>
      <c r="V131" s="7" t="n">
        <f aca="false">ROUND(M131-U131,2)</f>
        <v>0</v>
      </c>
      <c r="W131" s="8" t="str">
        <f aca="false">IF(ABS(V131)&gt;0.011,"CHECK","OK")</f>
        <v>OK</v>
      </c>
    </row>
    <row r="132" customFormat="false" ht="15" hidden="false" customHeight="false" outlineLevel="0" collapsed="false">
      <c r="A132" s="2" t="s">
        <v>285</v>
      </c>
      <c r="B132" s="2" t="s">
        <v>24</v>
      </c>
      <c r="C132" s="3" t="s">
        <v>296</v>
      </c>
      <c r="D132" s="2" t="n">
        <v>7</v>
      </c>
      <c r="E132" s="3" t="s">
        <v>303</v>
      </c>
      <c r="F132" s="3" t="s">
        <v>304</v>
      </c>
      <c r="G132" s="2" t="s">
        <v>33</v>
      </c>
      <c r="H132" s="4" t="n">
        <v>70</v>
      </c>
      <c r="I132" s="5" t="n">
        <v>5</v>
      </c>
      <c r="J132" s="2" t="s">
        <v>40</v>
      </c>
      <c r="K132" s="6" t="n">
        <v>0.35</v>
      </c>
      <c r="L132" s="4" t="n">
        <v>45.5</v>
      </c>
      <c r="M132" s="4" t="n">
        <v>192.8</v>
      </c>
      <c r="N132" s="6" t="n">
        <v>0.09</v>
      </c>
      <c r="O132" s="4" t="n">
        <v>17.35</v>
      </c>
      <c r="P132" s="6" t="n">
        <v>0.09</v>
      </c>
      <c r="Q132" s="4" t="n">
        <v>17.35</v>
      </c>
      <c r="R132" s="7" t="n">
        <f aca="false">M132+O132+P132</f>
        <v>210.24</v>
      </c>
      <c r="S132" s="7" t="n">
        <f aca="false">H132*I132</f>
        <v>350</v>
      </c>
      <c r="T132" s="7" t="n">
        <f aca="false">IF(K132="","",ROUND(H132*(1-K132),2))</f>
        <v>45.5</v>
      </c>
      <c r="U132" s="7" t="n">
        <f aca="false">ROUND(L132*I132/1.18,2)</f>
        <v>192.8</v>
      </c>
      <c r="V132" s="7" t="n">
        <f aca="false">ROUND(M132-U132,2)</f>
        <v>0</v>
      </c>
      <c r="W132" s="8" t="str">
        <f aca="false">IF(ABS(V132)&gt;0.011,"CHECK","OK")</f>
        <v>OK</v>
      </c>
    </row>
    <row r="133" customFormat="false" ht="15" hidden="false" customHeight="false" outlineLevel="0" collapsed="false">
      <c r="A133" s="2" t="s">
        <v>285</v>
      </c>
      <c r="B133" s="2" t="s">
        <v>24</v>
      </c>
      <c r="C133" s="3" t="s">
        <v>296</v>
      </c>
      <c r="D133" s="2" t="n">
        <v>8</v>
      </c>
      <c r="E133" s="3" t="s">
        <v>305</v>
      </c>
      <c r="F133" s="3" t="s">
        <v>306</v>
      </c>
      <c r="G133" s="2" t="s">
        <v>33</v>
      </c>
      <c r="H133" s="4" t="n">
        <v>150</v>
      </c>
      <c r="I133" s="5" t="n">
        <v>10</v>
      </c>
      <c r="J133" s="2" t="s">
        <v>40</v>
      </c>
      <c r="K133" s="6" t="n">
        <v>0.35</v>
      </c>
      <c r="L133" s="4" t="n">
        <v>97.5</v>
      </c>
      <c r="M133" s="4" t="n">
        <v>826.27</v>
      </c>
      <c r="N133" s="6" t="n">
        <v>0.09</v>
      </c>
      <c r="O133" s="4" t="n">
        <v>74.36</v>
      </c>
      <c r="P133" s="6" t="n">
        <v>0.09</v>
      </c>
      <c r="Q133" s="4" t="n">
        <v>74.36</v>
      </c>
      <c r="R133" s="7" t="n">
        <f aca="false">M133+O133+P133</f>
        <v>900.72</v>
      </c>
      <c r="S133" s="7" t="n">
        <f aca="false">H133*I133</f>
        <v>1500</v>
      </c>
      <c r="T133" s="7" t="n">
        <f aca="false">IF(K133="","",ROUND(H133*(1-K133),2))</f>
        <v>97.5</v>
      </c>
      <c r="U133" s="7" t="n">
        <f aca="false">ROUND(L133*I133/1.18,2)</f>
        <v>826.27</v>
      </c>
      <c r="V133" s="7" t="n">
        <f aca="false">ROUND(M133-U133,2)</f>
        <v>0</v>
      </c>
      <c r="W133" s="8" t="str">
        <f aca="false">IF(ABS(V133)&gt;0.011,"CHECK","OK")</f>
        <v>OK</v>
      </c>
    </row>
    <row r="134" customFormat="false" ht="15" hidden="false" customHeight="false" outlineLevel="0" collapsed="false">
      <c r="A134" s="2" t="s">
        <v>285</v>
      </c>
      <c r="B134" s="2" t="s">
        <v>24</v>
      </c>
      <c r="C134" s="3" t="s">
        <v>296</v>
      </c>
      <c r="D134" s="2" t="n">
        <v>9</v>
      </c>
      <c r="E134" s="3" t="s">
        <v>307</v>
      </c>
      <c r="F134" s="3" t="s">
        <v>308</v>
      </c>
      <c r="G134" s="2" t="s">
        <v>33</v>
      </c>
      <c r="H134" s="4" t="n">
        <v>23</v>
      </c>
      <c r="I134" s="5" t="n">
        <v>10</v>
      </c>
      <c r="J134" s="2" t="s">
        <v>29</v>
      </c>
      <c r="K134" s="6" t="n">
        <v>0.35</v>
      </c>
      <c r="L134" s="4" t="n">
        <v>14.95</v>
      </c>
      <c r="M134" s="4" t="n">
        <v>126.69</v>
      </c>
      <c r="N134" s="6" t="n">
        <v>0.09</v>
      </c>
      <c r="O134" s="4" t="n">
        <v>11.4</v>
      </c>
      <c r="P134" s="6" t="n">
        <v>0.09</v>
      </c>
      <c r="Q134" s="4" t="n">
        <v>11.4</v>
      </c>
      <c r="R134" s="7" t="n">
        <f aca="false">M134+O134+P134</f>
        <v>138.18</v>
      </c>
      <c r="S134" s="7" t="n">
        <f aca="false">H134*I134</f>
        <v>230</v>
      </c>
      <c r="T134" s="7" t="n">
        <f aca="false">IF(K134="","",ROUND(H134*(1-K134),2))</f>
        <v>14.95</v>
      </c>
      <c r="U134" s="7" t="n">
        <f aca="false">ROUND(L134*I134/1.18,2)</f>
        <v>126.69</v>
      </c>
      <c r="V134" s="7" t="n">
        <f aca="false">ROUND(M134-U134,2)</f>
        <v>0</v>
      </c>
      <c r="W134" s="8" t="str">
        <f aca="false">IF(ABS(V134)&gt;0.011,"CHECK","OK")</f>
        <v>OK</v>
      </c>
    </row>
    <row r="135" customFormat="false" ht="15" hidden="false" customHeight="false" outlineLevel="0" collapsed="false">
      <c r="A135" s="2" t="s">
        <v>285</v>
      </c>
      <c r="B135" s="2" t="s">
        <v>24</v>
      </c>
      <c r="C135" s="3" t="s">
        <v>296</v>
      </c>
      <c r="D135" s="2" t="n">
        <v>10</v>
      </c>
      <c r="E135" s="3" t="s">
        <v>309</v>
      </c>
      <c r="F135" s="3" t="s">
        <v>310</v>
      </c>
      <c r="G135" s="2" t="s">
        <v>33</v>
      </c>
      <c r="H135" s="4" t="n">
        <v>76</v>
      </c>
      <c r="I135" s="5" t="n">
        <v>20</v>
      </c>
      <c r="J135" s="2" t="s">
        <v>29</v>
      </c>
      <c r="K135" s="6" t="n">
        <v>0.35</v>
      </c>
      <c r="L135" s="4" t="n">
        <v>49.4</v>
      </c>
      <c r="M135" s="4" t="n">
        <v>837.29</v>
      </c>
      <c r="N135" s="6" t="n">
        <v>0.09</v>
      </c>
      <c r="O135" s="4" t="n">
        <v>75.35</v>
      </c>
      <c r="P135" s="6" t="n">
        <v>0.09</v>
      </c>
      <c r="Q135" s="4" t="n">
        <v>75.35</v>
      </c>
      <c r="R135" s="7" t="n">
        <f aca="false">M135+O135+P135</f>
        <v>912.73</v>
      </c>
      <c r="S135" s="7" t="n">
        <f aca="false">H135*I135</f>
        <v>1520</v>
      </c>
      <c r="T135" s="7" t="n">
        <f aca="false">IF(K135="","",ROUND(H135*(1-K135),2))</f>
        <v>49.4</v>
      </c>
      <c r="U135" s="7" t="n">
        <f aca="false">ROUND(L135*I135/1.18,2)</f>
        <v>837.29</v>
      </c>
      <c r="V135" s="7" t="n">
        <f aca="false">ROUND(M135-U135,2)</f>
        <v>0</v>
      </c>
      <c r="W135" s="8" t="str">
        <f aca="false">IF(ABS(V135)&gt;0.011,"CHECK","OK")</f>
        <v>OK</v>
      </c>
    </row>
    <row r="136" customFormat="false" ht="15" hidden="false" customHeight="false" outlineLevel="0" collapsed="false">
      <c r="A136" s="2" t="s">
        <v>285</v>
      </c>
      <c r="B136" s="2" t="s">
        <v>24</v>
      </c>
      <c r="C136" s="3" t="s">
        <v>296</v>
      </c>
      <c r="D136" s="2" t="n">
        <v>11</v>
      </c>
      <c r="E136" s="3" t="s">
        <v>311</v>
      </c>
      <c r="F136" s="3" t="s">
        <v>312</v>
      </c>
      <c r="G136" s="2" t="s">
        <v>33</v>
      </c>
      <c r="H136" s="4" t="n">
        <v>17</v>
      </c>
      <c r="I136" s="5" t="n">
        <v>10</v>
      </c>
      <c r="J136" s="2" t="s">
        <v>313</v>
      </c>
      <c r="K136" s="6" t="n">
        <v>0.35</v>
      </c>
      <c r="L136" s="4" t="n">
        <v>11.05</v>
      </c>
      <c r="M136" s="4" t="n">
        <v>93.64</v>
      </c>
      <c r="N136" s="6" t="n">
        <v>0.09</v>
      </c>
      <c r="O136" s="4" t="n">
        <v>8.43</v>
      </c>
      <c r="P136" s="6" t="n">
        <v>0.09</v>
      </c>
      <c r="Q136" s="4" t="n">
        <v>8.43</v>
      </c>
      <c r="R136" s="7" t="n">
        <f aca="false">M136+O136+P136</f>
        <v>102.16</v>
      </c>
      <c r="S136" s="7" t="n">
        <f aca="false">H136*I136</f>
        <v>170</v>
      </c>
      <c r="T136" s="7" t="n">
        <f aca="false">IF(K136="","",ROUND(H136*(1-K136),2))</f>
        <v>11.05</v>
      </c>
      <c r="U136" s="7" t="n">
        <f aca="false">ROUND(L136*I136/1.18,2)</f>
        <v>93.64</v>
      </c>
      <c r="V136" s="7" t="n">
        <f aca="false">ROUND(M136-U136,2)</f>
        <v>0</v>
      </c>
      <c r="W136" s="8" t="str">
        <f aca="false">IF(ABS(V136)&gt;0.011,"CHECK","OK")</f>
        <v>OK</v>
      </c>
    </row>
    <row r="137" customFormat="false" ht="15" hidden="false" customHeight="false" outlineLevel="0" collapsed="false">
      <c r="A137" s="2" t="s">
        <v>285</v>
      </c>
      <c r="B137" s="2" t="s">
        <v>24</v>
      </c>
      <c r="C137" s="3" t="s">
        <v>296</v>
      </c>
      <c r="D137" s="2" t="n">
        <v>12</v>
      </c>
      <c r="E137" s="3" t="s">
        <v>314</v>
      </c>
      <c r="F137" s="3" t="s">
        <v>315</v>
      </c>
      <c r="G137" s="2" t="s">
        <v>33</v>
      </c>
      <c r="H137" s="4" t="n">
        <v>20</v>
      </c>
      <c r="I137" s="5" t="n">
        <v>10</v>
      </c>
      <c r="J137" s="2" t="s">
        <v>29</v>
      </c>
      <c r="K137" s="6" t="n">
        <v>0.35</v>
      </c>
      <c r="L137" s="4" t="n">
        <v>13</v>
      </c>
      <c r="M137" s="4" t="n">
        <v>110.17</v>
      </c>
      <c r="N137" s="6" t="n">
        <v>0.09</v>
      </c>
      <c r="O137" s="4" t="n">
        <v>9.92</v>
      </c>
      <c r="P137" s="6" t="n">
        <v>0.09</v>
      </c>
      <c r="Q137" s="4" t="n">
        <v>9.92</v>
      </c>
      <c r="R137" s="7" t="n">
        <f aca="false">M137+O137+P137</f>
        <v>120.18</v>
      </c>
      <c r="S137" s="7" t="n">
        <f aca="false">H137*I137</f>
        <v>200</v>
      </c>
      <c r="T137" s="7" t="n">
        <f aca="false">IF(K137="","",ROUND(H137*(1-K137),2))</f>
        <v>13</v>
      </c>
      <c r="U137" s="7" t="n">
        <f aca="false">ROUND(L137*I137/1.18,2)</f>
        <v>110.17</v>
      </c>
      <c r="V137" s="7" t="n">
        <f aca="false">ROUND(M137-U137,2)</f>
        <v>0</v>
      </c>
      <c r="W137" s="8" t="str">
        <f aca="false">IF(ABS(V137)&gt;0.011,"CHECK","OK")</f>
        <v>OK</v>
      </c>
    </row>
    <row r="138" customFormat="false" ht="15" hidden="false" customHeight="false" outlineLevel="0" collapsed="false">
      <c r="A138" s="2" t="s">
        <v>285</v>
      </c>
      <c r="B138" s="2" t="s">
        <v>24</v>
      </c>
      <c r="C138" s="3" t="s">
        <v>296</v>
      </c>
      <c r="D138" s="2" t="n">
        <v>13</v>
      </c>
      <c r="E138" s="3" t="s">
        <v>316</v>
      </c>
      <c r="F138" s="3" t="s">
        <v>317</v>
      </c>
      <c r="G138" s="2" t="s">
        <v>33</v>
      </c>
      <c r="H138" s="4" t="n">
        <v>54</v>
      </c>
      <c r="I138" s="5" t="n">
        <v>10</v>
      </c>
      <c r="J138" s="2" t="s">
        <v>318</v>
      </c>
      <c r="K138" s="6" t="n">
        <v>0.45</v>
      </c>
      <c r="L138" s="4" t="n">
        <v>29.7</v>
      </c>
      <c r="M138" s="4" t="n">
        <v>251.69</v>
      </c>
      <c r="N138" s="6" t="n">
        <v>0.09</v>
      </c>
      <c r="O138" s="4" t="n">
        <v>22.65</v>
      </c>
      <c r="P138" s="6" t="n">
        <v>0.09</v>
      </c>
      <c r="Q138" s="4" t="n">
        <v>22.65</v>
      </c>
      <c r="R138" s="7" t="n">
        <f aca="false">M138+O138+P138</f>
        <v>274.43</v>
      </c>
      <c r="S138" s="7" t="n">
        <f aca="false">H138*I138</f>
        <v>540</v>
      </c>
      <c r="T138" s="7" t="n">
        <f aca="false">IF(K138="","",ROUND(H138*(1-K138),2))</f>
        <v>29.7</v>
      </c>
      <c r="U138" s="7" t="n">
        <f aca="false">ROUND(L138*I138/1.18,2)</f>
        <v>251.69</v>
      </c>
      <c r="V138" s="7" t="n">
        <f aca="false">ROUND(M138-U138,2)</f>
        <v>0</v>
      </c>
      <c r="W138" s="8" t="str">
        <f aca="false">IF(ABS(V138)&gt;0.011,"CHECK","OK")</f>
        <v>OK</v>
      </c>
    </row>
    <row r="139" customFormat="false" ht="15" hidden="false" customHeight="false" outlineLevel="0" collapsed="false">
      <c r="A139" s="2" t="s">
        <v>285</v>
      </c>
      <c r="B139" s="2" t="s">
        <v>24</v>
      </c>
      <c r="C139" s="3" t="s">
        <v>296</v>
      </c>
      <c r="D139" s="2" t="n">
        <v>14</v>
      </c>
      <c r="E139" s="3" t="s">
        <v>319</v>
      </c>
      <c r="F139" s="3" t="s">
        <v>320</v>
      </c>
      <c r="G139" s="2" t="s">
        <v>33</v>
      </c>
      <c r="H139" s="4" t="n">
        <v>45</v>
      </c>
      <c r="I139" s="5" t="n">
        <v>10</v>
      </c>
      <c r="J139" s="2" t="s">
        <v>29</v>
      </c>
      <c r="K139" s="6" t="n">
        <v>0.35</v>
      </c>
      <c r="L139" s="4" t="n">
        <v>29.25</v>
      </c>
      <c r="M139" s="4" t="n">
        <v>247.88</v>
      </c>
      <c r="N139" s="6" t="n">
        <v>0.09</v>
      </c>
      <c r="O139" s="4" t="n">
        <v>22.31</v>
      </c>
      <c r="P139" s="6" t="n">
        <v>0.09</v>
      </c>
      <c r="Q139" s="4" t="n">
        <v>22.31</v>
      </c>
      <c r="R139" s="7" t="n">
        <f aca="false">M139+O139+P139</f>
        <v>270.28</v>
      </c>
      <c r="S139" s="7" t="n">
        <f aca="false">H139*I139</f>
        <v>450</v>
      </c>
      <c r="T139" s="7" t="n">
        <f aca="false">IF(K139="","",ROUND(H139*(1-K139),2))</f>
        <v>29.25</v>
      </c>
      <c r="U139" s="7" t="n">
        <f aca="false">ROUND(L139*I139/1.18,2)</f>
        <v>247.88</v>
      </c>
      <c r="V139" s="7" t="n">
        <f aca="false">ROUND(M139-U139,2)</f>
        <v>0</v>
      </c>
      <c r="W139" s="8" t="str">
        <f aca="false">IF(ABS(V139)&gt;0.011,"CHECK","OK")</f>
        <v>OK</v>
      </c>
    </row>
    <row r="140" customFormat="false" ht="15" hidden="false" customHeight="false" outlineLevel="0" collapsed="false">
      <c r="A140" s="2" t="s">
        <v>285</v>
      </c>
      <c r="B140" s="2" t="s">
        <v>24</v>
      </c>
      <c r="C140" s="3" t="s">
        <v>296</v>
      </c>
      <c r="D140" s="2" t="n">
        <v>15</v>
      </c>
      <c r="E140" s="3" t="s">
        <v>321</v>
      </c>
      <c r="F140" s="3" t="s">
        <v>322</v>
      </c>
      <c r="G140" s="2" t="s">
        <v>33</v>
      </c>
      <c r="H140" s="4" t="n">
        <v>60</v>
      </c>
      <c r="I140" s="5" t="n">
        <v>10</v>
      </c>
      <c r="J140" s="2" t="s">
        <v>29</v>
      </c>
      <c r="K140" s="6" t="n">
        <v>0.35</v>
      </c>
      <c r="L140" s="4" t="n">
        <v>39</v>
      </c>
      <c r="M140" s="4" t="n">
        <v>330.51</v>
      </c>
      <c r="N140" s="6" t="n">
        <v>0.09</v>
      </c>
      <c r="O140" s="4" t="n">
        <v>29.74</v>
      </c>
      <c r="P140" s="6" t="n">
        <v>0.09</v>
      </c>
      <c r="Q140" s="4" t="n">
        <v>29.74</v>
      </c>
      <c r="R140" s="7" t="n">
        <f aca="false">M140+O140+P140</f>
        <v>360.34</v>
      </c>
      <c r="S140" s="7" t="n">
        <f aca="false">H140*I140</f>
        <v>600</v>
      </c>
      <c r="T140" s="7" t="n">
        <f aca="false">IF(K140="","",ROUND(H140*(1-K140),2))</f>
        <v>39</v>
      </c>
      <c r="U140" s="7" t="n">
        <f aca="false">ROUND(L140*I140/1.18,2)</f>
        <v>330.51</v>
      </c>
      <c r="V140" s="7" t="n">
        <f aca="false">ROUND(M140-U140,2)</f>
        <v>0</v>
      </c>
      <c r="W140" s="8" t="str">
        <f aca="false">IF(ABS(V140)&gt;0.011,"CHECK","OK")</f>
        <v>OK</v>
      </c>
    </row>
    <row r="141" customFormat="false" ht="15" hidden="false" customHeight="false" outlineLevel="0" collapsed="false">
      <c r="A141" s="2" t="s">
        <v>285</v>
      </c>
      <c r="B141" s="2" t="s">
        <v>24</v>
      </c>
      <c r="C141" s="3" t="s">
        <v>296</v>
      </c>
      <c r="D141" s="2" t="n">
        <v>16</v>
      </c>
      <c r="E141" s="3" t="s">
        <v>323</v>
      </c>
      <c r="F141" s="3" t="s">
        <v>324</v>
      </c>
      <c r="G141" s="2" t="s">
        <v>33</v>
      </c>
      <c r="H141" s="4" t="n">
        <v>136</v>
      </c>
      <c r="I141" s="5" t="n">
        <v>5</v>
      </c>
      <c r="J141" s="2" t="s">
        <v>40</v>
      </c>
      <c r="K141" s="6" t="n">
        <v>0.35</v>
      </c>
      <c r="L141" s="4" t="n">
        <v>88.4</v>
      </c>
      <c r="M141" s="4" t="n">
        <v>374.58</v>
      </c>
      <c r="N141" s="6" t="n">
        <v>0.09</v>
      </c>
      <c r="O141" s="4" t="n">
        <v>33.71</v>
      </c>
      <c r="P141" s="6" t="n">
        <v>0.09</v>
      </c>
      <c r="Q141" s="4" t="n">
        <v>33.71</v>
      </c>
      <c r="R141" s="7" t="n">
        <f aca="false">M141+O141+P141</f>
        <v>408.38</v>
      </c>
      <c r="S141" s="7" t="n">
        <f aca="false">H141*I141</f>
        <v>680</v>
      </c>
      <c r="T141" s="7" t="n">
        <f aca="false">IF(K141="","",ROUND(H141*(1-K141),2))</f>
        <v>88.4</v>
      </c>
      <c r="U141" s="7" t="n">
        <f aca="false">ROUND(L141*I141/1.18,2)</f>
        <v>374.58</v>
      </c>
      <c r="V141" s="7" t="n">
        <f aca="false">ROUND(M141-U141,2)</f>
        <v>0</v>
      </c>
      <c r="W141" s="8" t="str">
        <f aca="false">IF(ABS(V141)&gt;0.011,"CHECK","OK")</f>
        <v>OK</v>
      </c>
    </row>
    <row r="142" customFormat="false" ht="15" hidden="false" customHeight="false" outlineLevel="0" collapsed="false">
      <c r="A142" s="2" t="s">
        <v>285</v>
      </c>
      <c r="B142" s="2" t="s">
        <v>24</v>
      </c>
      <c r="C142" s="3" t="s">
        <v>296</v>
      </c>
      <c r="D142" s="2" t="n">
        <v>17</v>
      </c>
      <c r="E142" s="3" t="s">
        <v>325</v>
      </c>
      <c r="F142" s="3" t="s">
        <v>326</v>
      </c>
      <c r="G142" s="2" t="s">
        <v>33</v>
      </c>
      <c r="H142" s="4" t="n">
        <v>32</v>
      </c>
      <c r="I142" s="5" t="n">
        <v>10</v>
      </c>
      <c r="J142" s="2" t="s">
        <v>29</v>
      </c>
      <c r="K142" s="6" t="n">
        <v>0.35</v>
      </c>
      <c r="L142" s="4" t="n">
        <v>20.8</v>
      </c>
      <c r="M142" s="4" t="n">
        <v>176.27</v>
      </c>
      <c r="N142" s="6" t="n">
        <v>0.09</v>
      </c>
      <c r="O142" s="4" t="n">
        <v>15.86</v>
      </c>
      <c r="P142" s="6" t="n">
        <v>0.09</v>
      </c>
      <c r="Q142" s="4" t="n">
        <v>15.86</v>
      </c>
      <c r="R142" s="7" t="n">
        <f aca="false">M142+O142+P142</f>
        <v>192.22</v>
      </c>
      <c r="S142" s="7" t="n">
        <f aca="false">H142*I142</f>
        <v>320</v>
      </c>
      <c r="T142" s="7" t="n">
        <f aca="false">IF(K142="","",ROUND(H142*(1-K142),2))</f>
        <v>20.8</v>
      </c>
      <c r="U142" s="7" t="n">
        <f aca="false">ROUND(L142*I142/1.18,2)</f>
        <v>176.27</v>
      </c>
      <c r="V142" s="7" t="n">
        <f aca="false">ROUND(M142-U142,2)</f>
        <v>0</v>
      </c>
      <c r="W142" s="8" t="str">
        <f aca="false">IF(ABS(V142)&gt;0.011,"CHECK","OK")</f>
        <v>OK</v>
      </c>
    </row>
    <row r="143" customFormat="false" ht="15" hidden="false" customHeight="false" outlineLevel="0" collapsed="false">
      <c r="A143" s="2" t="s">
        <v>285</v>
      </c>
      <c r="B143" s="2" t="s">
        <v>24</v>
      </c>
      <c r="C143" s="3" t="s">
        <v>296</v>
      </c>
      <c r="D143" s="2" t="n">
        <v>18</v>
      </c>
      <c r="E143" s="3" t="s">
        <v>327</v>
      </c>
      <c r="F143" s="3" t="s">
        <v>328</v>
      </c>
      <c r="G143" s="2" t="s">
        <v>33</v>
      </c>
      <c r="H143" s="4" t="n">
        <v>21</v>
      </c>
      <c r="I143" s="5" t="n">
        <v>10</v>
      </c>
      <c r="J143" s="2" t="s">
        <v>29</v>
      </c>
      <c r="K143" s="6" t="n">
        <v>0.35</v>
      </c>
      <c r="L143" s="4" t="n">
        <v>13.65</v>
      </c>
      <c r="M143" s="4" t="n">
        <v>115.68</v>
      </c>
      <c r="N143" s="6" t="n">
        <v>0.09</v>
      </c>
      <c r="O143" s="4" t="n">
        <v>10.41</v>
      </c>
      <c r="P143" s="6" t="n">
        <v>0.09</v>
      </c>
      <c r="Q143" s="4" t="n">
        <v>10.41</v>
      </c>
      <c r="R143" s="7" t="n">
        <f aca="false">M143+O143+P143</f>
        <v>126.18</v>
      </c>
      <c r="S143" s="7" t="n">
        <f aca="false">H143*I143</f>
        <v>210</v>
      </c>
      <c r="T143" s="7" t="n">
        <f aca="false">IF(K143="","",ROUND(H143*(1-K143),2))</f>
        <v>13.65</v>
      </c>
      <c r="U143" s="7" t="n">
        <f aca="false">ROUND(L143*I143/1.18,2)</f>
        <v>115.68</v>
      </c>
      <c r="V143" s="7" t="n">
        <f aca="false">ROUND(M143-U143,2)</f>
        <v>0</v>
      </c>
      <c r="W143" s="8" t="str">
        <f aca="false">IF(ABS(V143)&gt;0.011,"CHECK","OK")</f>
        <v>OK</v>
      </c>
    </row>
    <row r="144" customFormat="false" ht="15" hidden="false" customHeight="false" outlineLevel="0" collapsed="false">
      <c r="A144" s="2" t="s">
        <v>285</v>
      </c>
      <c r="B144" s="2" t="s">
        <v>24</v>
      </c>
      <c r="C144" s="3" t="s">
        <v>296</v>
      </c>
      <c r="D144" s="2" t="n">
        <v>19</v>
      </c>
      <c r="E144" s="3" t="s">
        <v>329</v>
      </c>
      <c r="F144" s="3" t="s">
        <v>330</v>
      </c>
      <c r="G144" s="2" t="s">
        <v>33</v>
      </c>
      <c r="H144" s="4" t="n">
        <v>71</v>
      </c>
      <c r="I144" s="5" t="n">
        <v>10</v>
      </c>
      <c r="J144" s="2" t="s">
        <v>29</v>
      </c>
      <c r="K144" s="6" t="n">
        <v>0.35</v>
      </c>
      <c r="L144" s="4" t="n">
        <v>46.15</v>
      </c>
      <c r="M144" s="4" t="n">
        <v>391.1</v>
      </c>
      <c r="N144" s="6" t="n">
        <v>0.09</v>
      </c>
      <c r="O144" s="4" t="n">
        <v>35.2</v>
      </c>
      <c r="P144" s="6" t="n">
        <v>0.09</v>
      </c>
      <c r="Q144" s="4" t="n">
        <v>35.2</v>
      </c>
      <c r="R144" s="7" t="n">
        <f aca="false">M144+O144+P144</f>
        <v>426.39</v>
      </c>
      <c r="S144" s="7" t="n">
        <f aca="false">H144*I144</f>
        <v>710</v>
      </c>
      <c r="T144" s="7" t="n">
        <f aca="false">IF(K144="","",ROUND(H144*(1-K144),2))</f>
        <v>46.15</v>
      </c>
      <c r="U144" s="7" t="n">
        <f aca="false">ROUND(L144*I144/1.18,2)</f>
        <v>391.1</v>
      </c>
      <c r="V144" s="7" t="n">
        <f aca="false">ROUND(M144-U144,2)</f>
        <v>0</v>
      </c>
      <c r="W144" s="8" t="str">
        <f aca="false">IF(ABS(V144)&gt;0.011,"CHECK","OK")</f>
        <v>OK</v>
      </c>
    </row>
    <row r="145" customFormat="false" ht="15" hidden="false" customHeight="false" outlineLevel="0" collapsed="false">
      <c r="A145" s="2" t="s">
        <v>285</v>
      </c>
      <c r="B145" s="2" t="s">
        <v>24</v>
      </c>
      <c r="C145" s="3" t="s">
        <v>331</v>
      </c>
      <c r="D145" s="2" t="n">
        <v>20</v>
      </c>
      <c r="E145" s="3" t="s">
        <v>332</v>
      </c>
      <c r="F145" s="3" t="s">
        <v>333</v>
      </c>
      <c r="G145" s="2" t="s">
        <v>39</v>
      </c>
      <c r="H145" s="4" t="n">
        <v>175</v>
      </c>
      <c r="I145" s="5" t="n">
        <v>20</v>
      </c>
      <c r="J145" s="2" t="s">
        <v>40</v>
      </c>
      <c r="K145" s="6" t="n">
        <v>0.47</v>
      </c>
      <c r="L145" s="4" t="n">
        <v>92.75</v>
      </c>
      <c r="M145" s="4" t="n">
        <v>1572.03</v>
      </c>
      <c r="N145" s="6" t="n">
        <v>0.09</v>
      </c>
      <c r="O145" s="4" t="n">
        <v>141.48</v>
      </c>
      <c r="P145" s="6" t="n">
        <v>0.09</v>
      </c>
      <c r="Q145" s="4" t="n">
        <v>141.48</v>
      </c>
      <c r="R145" s="7" t="n">
        <f aca="false">M145+O145+P145</f>
        <v>1713.6</v>
      </c>
      <c r="S145" s="7" t="n">
        <f aca="false">H145*I145</f>
        <v>3500</v>
      </c>
      <c r="T145" s="7" t="n">
        <f aca="false">IF(K145="","",ROUND(H145*(1-K145),2))</f>
        <v>92.75</v>
      </c>
      <c r="U145" s="7" t="n">
        <f aca="false">ROUND(L145*I145/1.18,2)</f>
        <v>1572.03</v>
      </c>
      <c r="V145" s="7" t="n">
        <f aca="false">ROUND(M145-U145,2)</f>
        <v>0</v>
      </c>
      <c r="W145" s="8" t="str">
        <f aca="false">IF(ABS(V145)&gt;0.011,"CHECK","OK")</f>
        <v>OK</v>
      </c>
    </row>
    <row r="146" customFormat="false" ht="15" hidden="false" customHeight="false" outlineLevel="0" collapsed="false">
      <c r="A146" s="2" t="s">
        <v>285</v>
      </c>
      <c r="B146" s="2" t="s">
        <v>24</v>
      </c>
      <c r="C146" s="3" t="s">
        <v>331</v>
      </c>
      <c r="D146" s="2" t="n">
        <v>21</v>
      </c>
      <c r="E146" s="3" t="s">
        <v>334</v>
      </c>
      <c r="F146" s="3" t="s">
        <v>335</v>
      </c>
      <c r="G146" s="2" t="s">
        <v>45</v>
      </c>
      <c r="H146" s="4" t="n">
        <v>211</v>
      </c>
      <c r="I146" s="5" t="n">
        <v>10</v>
      </c>
      <c r="J146" s="2" t="s">
        <v>40</v>
      </c>
      <c r="K146" s="6" t="n">
        <v>0.47</v>
      </c>
      <c r="L146" s="4" t="n">
        <v>111.83</v>
      </c>
      <c r="M146" s="4" t="n">
        <v>947.71</v>
      </c>
      <c r="N146" s="6" t="n">
        <v>0.09</v>
      </c>
      <c r="O146" s="4" t="n">
        <v>85.29</v>
      </c>
      <c r="P146" s="6" t="n">
        <v>0.09</v>
      </c>
      <c r="Q146" s="4" t="n">
        <v>85.29</v>
      </c>
      <c r="R146" s="7" t="n">
        <f aca="false">M146+O146+P146</f>
        <v>1033.09</v>
      </c>
      <c r="S146" s="7" t="n">
        <f aca="false">H146*I146</f>
        <v>2110</v>
      </c>
      <c r="T146" s="7" t="n">
        <f aca="false">IF(K146="","",ROUND(H146*(1-K146),2))</f>
        <v>111.83</v>
      </c>
      <c r="U146" s="7" t="n">
        <f aca="false">ROUND(L146*I146/1.18,2)</f>
        <v>947.71</v>
      </c>
      <c r="V146" s="7" t="n">
        <f aca="false">ROUND(M146-U146,2)</f>
        <v>0</v>
      </c>
      <c r="W146" s="8" t="str">
        <f aca="false">IF(ABS(V146)&gt;0.011,"CHECK","OK")</f>
        <v>OK</v>
      </c>
    </row>
    <row r="147" customFormat="false" ht="15" hidden="false" customHeight="false" outlineLevel="0" collapsed="false">
      <c r="A147" s="2" t="s">
        <v>285</v>
      </c>
      <c r="B147" s="2" t="s">
        <v>24</v>
      </c>
      <c r="C147" s="3" t="s">
        <v>331</v>
      </c>
      <c r="D147" s="2" t="n">
        <v>22</v>
      </c>
      <c r="E147" s="3" t="s">
        <v>336</v>
      </c>
      <c r="F147" s="3" t="s">
        <v>337</v>
      </c>
      <c r="G147" s="2" t="s">
        <v>45</v>
      </c>
      <c r="H147" s="4" t="n">
        <v>229</v>
      </c>
      <c r="I147" s="5" t="n">
        <v>20</v>
      </c>
      <c r="J147" s="2" t="s">
        <v>40</v>
      </c>
      <c r="K147" s="6" t="n">
        <v>0.47</v>
      </c>
      <c r="L147" s="4" t="n">
        <v>121.37</v>
      </c>
      <c r="M147" s="4" t="n">
        <v>2057.12</v>
      </c>
      <c r="N147" s="6" t="n">
        <v>0.09</v>
      </c>
      <c r="O147" s="4" t="n">
        <v>185.14</v>
      </c>
      <c r="P147" s="6" t="n">
        <v>0.09</v>
      </c>
      <c r="Q147" s="4" t="n">
        <v>185.14</v>
      </c>
      <c r="R147" s="7" t="n">
        <f aca="false">M147+O147+P147</f>
        <v>2242.35</v>
      </c>
      <c r="S147" s="7" t="n">
        <f aca="false">H147*I147</f>
        <v>4580</v>
      </c>
      <c r="T147" s="7" t="n">
        <f aca="false">IF(K147="","",ROUND(H147*(1-K147),2))</f>
        <v>121.37</v>
      </c>
      <c r="U147" s="7" t="n">
        <f aca="false">ROUND(L147*I147/1.18,2)</f>
        <v>2057.12</v>
      </c>
      <c r="V147" s="7" t="n">
        <f aca="false">ROUND(M147-U147,2)</f>
        <v>0</v>
      </c>
      <c r="W147" s="8" t="str">
        <f aca="false">IF(ABS(V147)&gt;0.011,"CHECK","OK")</f>
        <v>OK</v>
      </c>
    </row>
    <row r="148" customFormat="false" ht="15" hidden="false" customHeight="false" outlineLevel="0" collapsed="false">
      <c r="A148" s="2" t="s">
        <v>285</v>
      </c>
      <c r="B148" s="2" t="s">
        <v>24</v>
      </c>
      <c r="C148" s="3" t="s">
        <v>331</v>
      </c>
      <c r="D148" s="2" t="n">
        <v>23</v>
      </c>
      <c r="E148" s="3" t="s">
        <v>338</v>
      </c>
      <c r="F148" s="3" t="s">
        <v>339</v>
      </c>
      <c r="G148" s="2" t="s">
        <v>39</v>
      </c>
      <c r="H148" s="4" t="n">
        <v>177</v>
      </c>
      <c r="I148" s="5" t="n">
        <v>20</v>
      </c>
      <c r="J148" s="2" t="s">
        <v>40</v>
      </c>
      <c r="K148" s="6" t="n">
        <v>0.47</v>
      </c>
      <c r="L148" s="4" t="n">
        <v>93.81</v>
      </c>
      <c r="M148" s="4" t="n">
        <v>1590</v>
      </c>
      <c r="N148" s="6" t="n">
        <v>0.09</v>
      </c>
      <c r="O148" s="4" t="n">
        <v>143.1</v>
      </c>
      <c r="P148" s="6" t="n">
        <v>0.09</v>
      </c>
      <c r="Q148" s="4" t="n">
        <v>143.1</v>
      </c>
      <c r="R148" s="7" t="n">
        <f aca="false">M148+O148+P148</f>
        <v>1733.19</v>
      </c>
      <c r="S148" s="7" t="n">
        <f aca="false">H148*I148</f>
        <v>3540</v>
      </c>
      <c r="T148" s="7" t="n">
        <f aca="false">IF(K148="","",ROUND(H148*(1-K148),2))</f>
        <v>93.81</v>
      </c>
      <c r="U148" s="7" t="n">
        <f aca="false">ROUND(L148*I148/1.18,2)</f>
        <v>1590</v>
      </c>
      <c r="V148" s="7" t="n">
        <f aca="false">ROUND(M148-U148,2)</f>
        <v>0</v>
      </c>
      <c r="W148" s="8" t="str">
        <f aca="false">IF(ABS(V148)&gt;0.011,"CHECK","OK")</f>
        <v>OK</v>
      </c>
    </row>
    <row r="149" customFormat="false" ht="15" hidden="false" customHeight="false" outlineLevel="0" collapsed="false">
      <c r="A149" s="2" t="s">
        <v>285</v>
      </c>
      <c r="B149" s="2" t="s">
        <v>24</v>
      </c>
      <c r="C149" s="3" t="s">
        <v>331</v>
      </c>
      <c r="D149" s="2" t="n">
        <v>24</v>
      </c>
      <c r="E149" s="3" t="s">
        <v>340</v>
      </c>
      <c r="F149" s="3" t="s">
        <v>341</v>
      </c>
      <c r="G149" s="2" t="s">
        <v>342</v>
      </c>
      <c r="H149" s="4" t="n">
        <v>330</v>
      </c>
      <c r="I149" s="5" t="n">
        <v>5</v>
      </c>
      <c r="J149" s="2" t="s">
        <v>40</v>
      </c>
      <c r="K149" s="6" t="n">
        <v>0.47</v>
      </c>
      <c r="L149" s="4" t="n">
        <v>174.9</v>
      </c>
      <c r="M149" s="4" t="n">
        <v>741.1</v>
      </c>
      <c r="N149" s="6" t="n">
        <v>0.09</v>
      </c>
      <c r="O149" s="4" t="n">
        <v>66.7</v>
      </c>
      <c r="P149" s="6" t="n">
        <v>0.09</v>
      </c>
      <c r="Q149" s="4" t="n">
        <v>66.7</v>
      </c>
      <c r="R149" s="7" t="n">
        <f aca="false">M149+O149+P149</f>
        <v>807.89</v>
      </c>
      <c r="S149" s="7" t="n">
        <f aca="false">H149*I149</f>
        <v>1650</v>
      </c>
      <c r="T149" s="7" t="n">
        <f aca="false">IF(K149="","",ROUND(H149*(1-K149),2))</f>
        <v>174.9</v>
      </c>
      <c r="U149" s="7" t="n">
        <f aca="false">ROUND(L149*I149/1.18,2)</f>
        <v>741.1</v>
      </c>
      <c r="V149" s="7" t="n">
        <f aca="false">ROUND(M149-U149,2)</f>
        <v>0</v>
      </c>
      <c r="W149" s="8" t="str">
        <f aca="false">IF(ABS(V149)&gt;0.011,"CHECK","OK")</f>
        <v>OK</v>
      </c>
    </row>
    <row r="150" customFormat="false" ht="15" hidden="false" customHeight="false" outlineLevel="0" collapsed="false">
      <c r="A150" s="2" t="s">
        <v>285</v>
      </c>
      <c r="B150" s="2" t="s">
        <v>24</v>
      </c>
      <c r="C150" s="3" t="s">
        <v>331</v>
      </c>
      <c r="D150" s="2" t="n">
        <v>25</v>
      </c>
      <c r="E150" s="3" t="s">
        <v>343</v>
      </c>
      <c r="F150" s="3" t="s">
        <v>344</v>
      </c>
      <c r="G150" s="2" t="s">
        <v>342</v>
      </c>
      <c r="H150" s="4" t="n">
        <v>216</v>
      </c>
      <c r="I150" s="5" t="n">
        <v>5</v>
      </c>
      <c r="J150" s="2" t="s">
        <v>40</v>
      </c>
      <c r="K150" s="6" t="n">
        <v>0.47</v>
      </c>
      <c r="L150" s="4" t="n">
        <v>114.48</v>
      </c>
      <c r="M150" s="4" t="n">
        <v>485.08</v>
      </c>
      <c r="N150" s="6" t="n">
        <v>0.09</v>
      </c>
      <c r="O150" s="4" t="n">
        <v>43.66</v>
      </c>
      <c r="P150" s="6" t="n">
        <v>0.09</v>
      </c>
      <c r="Q150" s="4" t="n">
        <v>43.66</v>
      </c>
      <c r="R150" s="7" t="n">
        <f aca="false">M150+O150+P150</f>
        <v>528.83</v>
      </c>
      <c r="S150" s="7" t="n">
        <f aca="false">H150*I150</f>
        <v>1080</v>
      </c>
      <c r="T150" s="7" t="n">
        <f aca="false">IF(K150="","",ROUND(H150*(1-K150),2))</f>
        <v>114.48</v>
      </c>
      <c r="U150" s="7" t="n">
        <f aca="false">ROUND(L150*I150/1.18,2)</f>
        <v>485.08</v>
      </c>
      <c r="V150" s="7" t="n">
        <f aca="false">ROUND(M150-U150,2)</f>
        <v>0</v>
      </c>
      <c r="W150" s="8" t="str">
        <f aca="false">IF(ABS(V150)&gt;0.011,"CHECK","OK")</f>
        <v>OK</v>
      </c>
    </row>
    <row r="151" customFormat="false" ht="15" hidden="false" customHeight="false" outlineLevel="0" collapsed="false">
      <c r="A151" s="2" t="s">
        <v>285</v>
      </c>
      <c r="B151" s="2" t="s">
        <v>24</v>
      </c>
      <c r="C151" s="3" t="s">
        <v>331</v>
      </c>
      <c r="D151" s="2" t="n">
        <v>26</v>
      </c>
      <c r="E151" s="3" t="s">
        <v>345</v>
      </c>
      <c r="F151" s="3" t="s">
        <v>346</v>
      </c>
      <c r="G151" s="2" t="s">
        <v>39</v>
      </c>
      <c r="H151" s="4" t="n">
        <v>227</v>
      </c>
      <c r="I151" s="5" t="n">
        <v>10</v>
      </c>
      <c r="J151" s="2" t="s">
        <v>40</v>
      </c>
      <c r="K151" s="6" t="n">
        <v>0.47</v>
      </c>
      <c r="L151" s="4" t="n">
        <v>120.31</v>
      </c>
      <c r="M151" s="4" t="n">
        <v>1019.58</v>
      </c>
      <c r="N151" s="6" t="n">
        <v>0.09</v>
      </c>
      <c r="O151" s="4" t="n">
        <v>91.76</v>
      </c>
      <c r="P151" s="6" t="n">
        <v>0.09</v>
      </c>
      <c r="Q151" s="4" t="n">
        <v>91.76</v>
      </c>
      <c r="R151" s="7" t="n">
        <f aca="false">M151+O151+P151</f>
        <v>1111.43</v>
      </c>
      <c r="S151" s="7" t="n">
        <f aca="false">H151*I151</f>
        <v>2270</v>
      </c>
      <c r="T151" s="7" t="n">
        <f aca="false">IF(K151="","",ROUND(H151*(1-K151),2))</f>
        <v>120.31</v>
      </c>
      <c r="U151" s="7" t="n">
        <f aca="false">ROUND(L151*I151/1.18,2)</f>
        <v>1019.58</v>
      </c>
      <c r="V151" s="7" t="n">
        <f aca="false">ROUND(M151-U151,2)</f>
        <v>0</v>
      </c>
      <c r="W151" s="8" t="str">
        <f aca="false">IF(ABS(V151)&gt;0.011,"CHECK","OK")</f>
        <v>OK</v>
      </c>
    </row>
    <row r="152" customFormat="false" ht="15" hidden="false" customHeight="false" outlineLevel="0" collapsed="false">
      <c r="A152" s="2" t="s">
        <v>285</v>
      </c>
      <c r="B152" s="2" t="s">
        <v>24</v>
      </c>
      <c r="C152" s="3" t="s">
        <v>331</v>
      </c>
      <c r="D152" s="2" t="n">
        <v>27</v>
      </c>
      <c r="E152" s="3" t="s">
        <v>347</v>
      </c>
      <c r="F152" s="3" t="s">
        <v>348</v>
      </c>
      <c r="G152" s="2" t="s">
        <v>342</v>
      </c>
      <c r="H152" s="4" t="n">
        <v>232</v>
      </c>
      <c r="I152" s="5" t="n">
        <v>5</v>
      </c>
      <c r="J152" s="2" t="s">
        <v>40</v>
      </c>
      <c r="K152" s="6" t="n">
        <v>0.47</v>
      </c>
      <c r="L152" s="4" t="n">
        <v>122.96</v>
      </c>
      <c r="M152" s="4" t="n">
        <v>521.02</v>
      </c>
      <c r="N152" s="6" t="n">
        <v>0.09</v>
      </c>
      <c r="O152" s="4" t="n">
        <v>46.89</v>
      </c>
      <c r="P152" s="6" t="n">
        <v>0.09</v>
      </c>
      <c r="Q152" s="4" t="n">
        <v>46.89</v>
      </c>
      <c r="R152" s="7" t="n">
        <f aca="false">M152+O152+P152</f>
        <v>568</v>
      </c>
      <c r="S152" s="7" t="n">
        <f aca="false">H152*I152</f>
        <v>1160</v>
      </c>
      <c r="T152" s="7" t="n">
        <f aca="false">IF(K152="","",ROUND(H152*(1-K152),2))</f>
        <v>122.96</v>
      </c>
      <c r="U152" s="7" t="n">
        <f aca="false">ROUND(L152*I152/1.18,2)</f>
        <v>521.02</v>
      </c>
      <c r="V152" s="7" t="n">
        <f aca="false">ROUND(M152-U152,2)</f>
        <v>0</v>
      </c>
      <c r="W152" s="8" t="str">
        <f aca="false">IF(ABS(V152)&gt;0.011,"CHECK","OK")</f>
        <v>OK</v>
      </c>
    </row>
    <row r="153" customFormat="false" ht="15" hidden="false" customHeight="false" outlineLevel="0" collapsed="false">
      <c r="A153" s="2" t="s">
        <v>285</v>
      </c>
      <c r="B153" s="2" t="s">
        <v>24</v>
      </c>
      <c r="C153" s="3" t="s">
        <v>331</v>
      </c>
      <c r="D153" s="2" t="n">
        <v>28</v>
      </c>
      <c r="E153" s="3" t="s">
        <v>349</v>
      </c>
      <c r="F153" s="3" t="s">
        <v>350</v>
      </c>
      <c r="G153" s="2" t="s">
        <v>342</v>
      </c>
      <c r="H153" s="4" t="n">
        <v>320</v>
      </c>
      <c r="I153" s="5" t="n">
        <v>10</v>
      </c>
      <c r="J153" s="2" t="s">
        <v>40</v>
      </c>
      <c r="K153" s="6" t="n">
        <v>0.47</v>
      </c>
      <c r="L153" s="4" t="n">
        <v>169.6</v>
      </c>
      <c r="M153" s="4" t="n">
        <v>1437.29</v>
      </c>
      <c r="N153" s="6" t="n">
        <v>0.09</v>
      </c>
      <c r="O153" s="4" t="n">
        <v>129.35</v>
      </c>
      <c r="P153" s="6" t="n">
        <v>0.09</v>
      </c>
      <c r="Q153" s="4" t="n">
        <v>129.35</v>
      </c>
      <c r="R153" s="7" t="n">
        <f aca="false">M153+O153+P153</f>
        <v>1566.73</v>
      </c>
      <c r="S153" s="7" t="n">
        <f aca="false">H153*I153</f>
        <v>3200</v>
      </c>
      <c r="T153" s="7" t="n">
        <f aca="false">IF(K153="","",ROUND(H153*(1-K153),2))</f>
        <v>169.6</v>
      </c>
      <c r="U153" s="7" t="n">
        <f aca="false">ROUND(L153*I153/1.18,2)</f>
        <v>1437.29</v>
      </c>
      <c r="V153" s="7" t="n">
        <f aca="false">ROUND(M153-U153,2)</f>
        <v>0</v>
      </c>
      <c r="W153" s="8" t="str">
        <f aca="false">IF(ABS(V153)&gt;0.011,"CHECK","OK")</f>
        <v>OK</v>
      </c>
    </row>
    <row r="154" customFormat="false" ht="15" hidden="false" customHeight="false" outlineLevel="0" collapsed="false">
      <c r="A154" s="2" t="s">
        <v>285</v>
      </c>
      <c r="B154" s="2" t="s">
        <v>24</v>
      </c>
      <c r="C154" s="3" t="s">
        <v>351</v>
      </c>
      <c r="D154" s="2" t="n">
        <v>29</v>
      </c>
      <c r="E154" s="3" t="s">
        <v>352</v>
      </c>
      <c r="F154" s="3" t="s">
        <v>353</v>
      </c>
      <c r="G154" s="2" t="s">
        <v>354</v>
      </c>
      <c r="H154" s="4" t="n">
        <v>2.37</v>
      </c>
      <c r="I154" s="5" t="n">
        <v>100</v>
      </c>
      <c r="J154" s="2" t="s">
        <v>29</v>
      </c>
      <c r="K154" s="6" t="n">
        <v>0.45</v>
      </c>
      <c r="L154" s="4" t="n">
        <v>1.3</v>
      </c>
      <c r="M154" s="4" t="n">
        <v>110.47</v>
      </c>
      <c r="N154" s="6" t="n">
        <v>0.09</v>
      </c>
      <c r="O154" s="4" t="n">
        <v>9.94</v>
      </c>
      <c r="P154" s="6" t="n">
        <v>0.09</v>
      </c>
      <c r="Q154" s="4" t="n">
        <v>9.94</v>
      </c>
      <c r="R154" s="7" t="n">
        <f aca="false">M154+O154+P154</f>
        <v>120.5</v>
      </c>
      <c r="S154" s="7" t="n">
        <f aca="false">H154*I154</f>
        <v>237</v>
      </c>
      <c r="T154" s="7" t="n">
        <f aca="false">IF(K154="","",ROUND(H154*(1-K154),2))</f>
        <v>1.3</v>
      </c>
      <c r="U154" s="7" t="n">
        <f aca="false">ROUND(L154*I154/1.18,2)</f>
        <v>110.17</v>
      </c>
      <c r="V154" s="7" t="n">
        <f aca="false">ROUND(M154-U154,2)</f>
        <v>0.3</v>
      </c>
      <c r="W154" s="8" t="str">
        <f aca="false">IF(ABS(V154)&gt;0.011,"CHECK","OK")</f>
        <v>CHECK</v>
      </c>
    </row>
    <row r="155" customFormat="false" ht="15" hidden="false" customHeight="false" outlineLevel="0" collapsed="false">
      <c r="A155" s="2" t="s">
        <v>285</v>
      </c>
      <c r="B155" s="2" t="s">
        <v>24</v>
      </c>
      <c r="C155" s="3" t="s">
        <v>351</v>
      </c>
      <c r="D155" s="2" t="n">
        <v>30</v>
      </c>
      <c r="E155" s="3" t="s">
        <v>355</v>
      </c>
      <c r="F155" s="3" t="s">
        <v>356</v>
      </c>
      <c r="G155" s="2" t="s">
        <v>39</v>
      </c>
      <c r="H155" s="4" t="n">
        <v>80</v>
      </c>
      <c r="I155" s="5" t="n">
        <v>5</v>
      </c>
      <c r="J155" s="2" t="s">
        <v>29</v>
      </c>
      <c r="K155" s="6" t="n">
        <v>0.45</v>
      </c>
      <c r="L155" s="4" t="n">
        <v>44</v>
      </c>
      <c r="M155" s="4" t="n">
        <v>186.44</v>
      </c>
      <c r="N155" s="6" t="n">
        <v>0.09</v>
      </c>
      <c r="O155" s="4" t="n">
        <v>16.78</v>
      </c>
      <c r="P155" s="6" t="n">
        <v>0.09</v>
      </c>
      <c r="Q155" s="4" t="n">
        <v>16.78</v>
      </c>
      <c r="R155" s="7" t="n">
        <f aca="false">M155+O155+P155</f>
        <v>203.31</v>
      </c>
      <c r="S155" s="7" t="n">
        <f aca="false">H155*I155</f>
        <v>400</v>
      </c>
      <c r="T155" s="7" t="n">
        <f aca="false">IF(K155="","",ROUND(H155*(1-K155),2))</f>
        <v>44</v>
      </c>
      <c r="U155" s="7" t="n">
        <f aca="false">ROUND(L155*I155/1.18,2)</f>
        <v>186.44</v>
      </c>
      <c r="V155" s="7" t="n">
        <f aca="false">ROUND(M155-U155,2)</f>
        <v>0</v>
      </c>
      <c r="W155" s="8" t="str">
        <f aca="false">IF(ABS(V155)&gt;0.011,"CHECK","OK")</f>
        <v>OK</v>
      </c>
    </row>
    <row r="156" customFormat="false" ht="15" hidden="false" customHeight="false" outlineLevel="0" collapsed="false">
      <c r="A156" s="2" t="s">
        <v>285</v>
      </c>
      <c r="B156" s="2" t="s">
        <v>24</v>
      </c>
      <c r="C156" s="3" t="s">
        <v>351</v>
      </c>
      <c r="D156" s="2" t="n">
        <v>31</v>
      </c>
      <c r="E156" s="3" t="s">
        <v>357</v>
      </c>
      <c r="F156" s="3" t="s">
        <v>358</v>
      </c>
      <c r="G156" s="2" t="s">
        <v>354</v>
      </c>
      <c r="H156" s="4" t="n">
        <v>4.75</v>
      </c>
      <c r="I156" s="5" t="n">
        <v>25</v>
      </c>
      <c r="J156" s="2" t="s">
        <v>29</v>
      </c>
      <c r="K156" s="6" t="n">
        <v>0.45</v>
      </c>
      <c r="L156" s="4" t="n">
        <v>2.61</v>
      </c>
      <c r="M156" s="4" t="n">
        <v>55.35</v>
      </c>
      <c r="N156" s="6" t="n">
        <v>0.09</v>
      </c>
      <c r="O156" s="4" t="n">
        <v>4.98</v>
      </c>
      <c r="P156" s="6" t="n">
        <v>0.09</v>
      </c>
      <c r="Q156" s="4" t="n">
        <v>4.98</v>
      </c>
      <c r="R156" s="7" t="n">
        <f aca="false">M156+O156+P156</f>
        <v>60.42</v>
      </c>
      <c r="S156" s="7" t="n">
        <f aca="false">H156*I156</f>
        <v>118.75</v>
      </c>
      <c r="T156" s="7" t="n">
        <f aca="false">IF(K156="","",ROUND(H156*(1-K156),2))</f>
        <v>2.61</v>
      </c>
      <c r="U156" s="7" t="n">
        <f aca="false">ROUND(L156*I156/1.18,2)</f>
        <v>55.3</v>
      </c>
      <c r="V156" s="7" t="n">
        <f aca="false">ROUND(M156-U156,2)</f>
        <v>0.05</v>
      </c>
      <c r="W156" s="8" t="str">
        <f aca="false">IF(ABS(V156)&gt;0.011,"CHECK","OK")</f>
        <v>CHECK</v>
      </c>
    </row>
    <row r="157" customFormat="false" ht="15" hidden="false" customHeight="false" outlineLevel="0" collapsed="false">
      <c r="A157" s="2" t="s">
        <v>285</v>
      </c>
      <c r="B157" s="2" t="s">
        <v>24</v>
      </c>
      <c r="C157" s="3" t="s">
        <v>351</v>
      </c>
      <c r="D157" s="2" t="n">
        <v>32</v>
      </c>
      <c r="E157" s="3" t="s">
        <v>359</v>
      </c>
      <c r="F157" s="3" t="s">
        <v>360</v>
      </c>
      <c r="G157" s="2" t="s">
        <v>354</v>
      </c>
      <c r="H157" s="4" t="n">
        <v>8.75</v>
      </c>
      <c r="I157" s="5" t="n">
        <v>25</v>
      </c>
      <c r="J157" s="2" t="s">
        <v>29</v>
      </c>
      <c r="K157" s="6" t="n">
        <v>0.45</v>
      </c>
      <c r="L157" s="4" t="n">
        <v>4.81</v>
      </c>
      <c r="M157" s="4" t="n">
        <v>101.96</v>
      </c>
      <c r="N157" s="6" t="n">
        <v>0.09</v>
      </c>
      <c r="O157" s="4" t="n">
        <v>9.17</v>
      </c>
      <c r="P157" s="6" t="n">
        <v>0.09</v>
      </c>
      <c r="Q157" s="4" t="n">
        <v>9.17</v>
      </c>
      <c r="R157" s="7" t="n">
        <f aca="false">M157+O157+P157</f>
        <v>111.22</v>
      </c>
      <c r="S157" s="7" t="n">
        <f aca="false">H157*I157</f>
        <v>218.75</v>
      </c>
      <c r="T157" s="7" t="n">
        <f aca="false">IF(K157="","",ROUND(H157*(1-K157),2))</f>
        <v>4.81</v>
      </c>
      <c r="U157" s="7" t="n">
        <f aca="false">ROUND(L157*I157/1.18,2)</f>
        <v>101.91</v>
      </c>
      <c r="V157" s="7" t="n">
        <f aca="false">ROUND(M157-U157,2)</f>
        <v>0.05</v>
      </c>
      <c r="W157" s="8" t="str">
        <f aca="false">IF(ABS(V157)&gt;0.011,"CHECK","OK")</f>
        <v>CHECK</v>
      </c>
    </row>
    <row r="158" customFormat="false" ht="15" hidden="false" customHeight="false" outlineLevel="0" collapsed="false">
      <c r="A158" s="2" t="s">
        <v>285</v>
      </c>
      <c r="B158" s="2" t="s">
        <v>24</v>
      </c>
      <c r="C158" s="3" t="s">
        <v>30</v>
      </c>
      <c r="D158" s="2" t="n">
        <v>33</v>
      </c>
      <c r="E158" s="3" t="s">
        <v>361</v>
      </c>
      <c r="F158" s="3" t="s">
        <v>362</v>
      </c>
      <c r="G158" s="2" t="s">
        <v>33</v>
      </c>
      <c r="H158" s="4" t="n">
        <v>26</v>
      </c>
      <c r="I158" s="5" t="n">
        <v>10</v>
      </c>
      <c r="J158" s="2" t="s">
        <v>29</v>
      </c>
      <c r="K158" s="6" t="n">
        <v>0.43</v>
      </c>
      <c r="L158" s="4" t="n">
        <v>14.82</v>
      </c>
      <c r="M158" s="4" t="n">
        <v>125.59</v>
      </c>
      <c r="N158" s="6" t="n">
        <v>0.09</v>
      </c>
      <c r="O158" s="4" t="n">
        <v>11.3</v>
      </c>
      <c r="P158" s="6" t="n">
        <v>0.09</v>
      </c>
      <c r="Q158" s="4" t="n">
        <v>11.3</v>
      </c>
      <c r="R158" s="7" t="n">
        <f aca="false">M158+O158+P158</f>
        <v>136.98</v>
      </c>
      <c r="S158" s="7" t="n">
        <f aca="false">H158*I158</f>
        <v>260</v>
      </c>
      <c r="T158" s="7" t="n">
        <f aca="false">IF(K158="","",ROUND(H158*(1-K158),2))</f>
        <v>14.82</v>
      </c>
      <c r="U158" s="7" t="n">
        <f aca="false">ROUND(L158*I158/1.18,2)</f>
        <v>125.59</v>
      </c>
      <c r="V158" s="7" t="n">
        <f aca="false">ROUND(M158-U158,2)</f>
        <v>0</v>
      </c>
      <c r="W158" s="8" t="str">
        <f aca="false">IF(ABS(V158)&gt;0.011,"CHECK","OK")</f>
        <v>OK</v>
      </c>
    </row>
    <row r="159" customFormat="false" ht="15" hidden="false" customHeight="false" outlineLevel="0" collapsed="false">
      <c r="A159" s="2" t="s">
        <v>285</v>
      </c>
      <c r="B159" s="2" t="s">
        <v>24</v>
      </c>
      <c r="C159" s="3" t="s">
        <v>30</v>
      </c>
      <c r="D159" s="2" t="n">
        <v>34</v>
      </c>
      <c r="E159" s="3" t="s">
        <v>363</v>
      </c>
      <c r="F159" s="3" t="s">
        <v>364</v>
      </c>
      <c r="G159" s="2" t="s">
        <v>33</v>
      </c>
      <c r="H159" s="4" t="n">
        <v>11</v>
      </c>
      <c r="I159" s="5" t="n">
        <v>25</v>
      </c>
      <c r="J159" s="2"/>
      <c r="K159" s="6" t="n">
        <v>0.43</v>
      </c>
      <c r="L159" s="4" t="n">
        <v>6.27</v>
      </c>
      <c r="M159" s="4" t="n">
        <v>132.84</v>
      </c>
      <c r="N159" s="6" t="n">
        <v>0.09</v>
      </c>
      <c r="O159" s="4" t="n">
        <v>11.95</v>
      </c>
      <c r="P159" s="6" t="n">
        <v>0.09</v>
      </c>
      <c r="Q159" s="4" t="n">
        <v>11.95</v>
      </c>
      <c r="R159" s="7" t="n">
        <f aca="false">M159+O159+P159</f>
        <v>144.88</v>
      </c>
      <c r="S159" s="7" t="n">
        <f aca="false">H159*I159</f>
        <v>275</v>
      </c>
      <c r="T159" s="7" t="n">
        <f aca="false">IF(K159="","",ROUND(H159*(1-K159),2))</f>
        <v>6.27</v>
      </c>
      <c r="U159" s="7" t="n">
        <f aca="false">ROUND(L159*I159/1.18,2)</f>
        <v>132.84</v>
      </c>
      <c r="V159" s="7" t="n">
        <f aca="false">ROUND(M159-U159,2)</f>
        <v>0</v>
      </c>
      <c r="W159" s="8" t="str">
        <f aca="false">IF(ABS(V159)&gt;0.011,"CHECK","OK")</f>
        <v>OK</v>
      </c>
    </row>
    <row r="160" customFormat="false" ht="15" hidden="false" customHeight="false" outlineLevel="0" collapsed="false">
      <c r="A160" s="2" t="s">
        <v>285</v>
      </c>
      <c r="B160" s="2" t="s">
        <v>24</v>
      </c>
      <c r="C160" s="3" t="s">
        <v>30</v>
      </c>
      <c r="D160" s="2" t="n">
        <v>35</v>
      </c>
      <c r="E160" s="3" t="s">
        <v>365</v>
      </c>
      <c r="F160" s="3" t="s">
        <v>366</v>
      </c>
      <c r="G160" s="2" t="s">
        <v>33</v>
      </c>
      <c r="H160" s="4" t="n">
        <v>70</v>
      </c>
      <c r="I160" s="5" t="n">
        <v>5</v>
      </c>
      <c r="J160" s="2"/>
      <c r="K160" s="6" t="n">
        <v>0.43</v>
      </c>
      <c r="L160" s="4" t="n">
        <v>39.9</v>
      </c>
      <c r="M160" s="4" t="n">
        <v>169.07</v>
      </c>
      <c r="N160" s="6" t="n">
        <v>0.09</v>
      </c>
      <c r="O160" s="4" t="n">
        <v>15.21</v>
      </c>
      <c r="P160" s="6" t="n">
        <v>0.09</v>
      </c>
      <c r="Q160" s="4" t="n">
        <v>15.21</v>
      </c>
      <c r="R160" s="7" t="n">
        <f aca="false">M160+O160+P160</f>
        <v>184.37</v>
      </c>
      <c r="S160" s="7" t="n">
        <f aca="false">H160*I160</f>
        <v>350</v>
      </c>
      <c r="T160" s="7" t="n">
        <f aca="false">IF(K160="","",ROUND(H160*(1-K160),2))</f>
        <v>39.9</v>
      </c>
      <c r="U160" s="7" t="n">
        <f aca="false">ROUND(L160*I160/1.18,2)</f>
        <v>169.07</v>
      </c>
      <c r="V160" s="7" t="n">
        <f aca="false">ROUND(M160-U160,2)</f>
        <v>0</v>
      </c>
      <c r="W160" s="8" t="str">
        <f aca="false">IF(ABS(V160)&gt;0.011,"CHECK","OK")</f>
        <v>OK</v>
      </c>
    </row>
    <row r="161" customFormat="false" ht="15" hidden="false" customHeight="false" outlineLevel="0" collapsed="false">
      <c r="A161" s="2" t="s">
        <v>285</v>
      </c>
      <c r="B161" s="2" t="s">
        <v>24</v>
      </c>
      <c r="C161" s="3" t="s">
        <v>30</v>
      </c>
      <c r="D161" s="2" t="n">
        <v>36</v>
      </c>
      <c r="E161" s="3" t="s">
        <v>367</v>
      </c>
      <c r="F161" s="3" t="s">
        <v>368</v>
      </c>
      <c r="G161" s="2" t="s">
        <v>33</v>
      </c>
      <c r="H161" s="4" t="n">
        <v>42</v>
      </c>
      <c r="I161" s="5" t="n">
        <v>10</v>
      </c>
      <c r="J161" s="2" t="s">
        <v>29</v>
      </c>
      <c r="K161" s="6" t="n">
        <v>0.43</v>
      </c>
      <c r="L161" s="4" t="n">
        <v>23.94</v>
      </c>
      <c r="M161" s="4" t="n">
        <v>202.88</v>
      </c>
      <c r="N161" s="6" t="n">
        <v>0.09</v>
      </c>
      <c r="O161" s="4" t="n">
        <v>18.26</v>
      </c>
      <c r="P161" s="6" t="n">
        <v>0.09</v>
      </c>
      <c r="Q161" s="4" t="n">
        <v>18.26</v>
      </c>
      <c r="R161" s="7" t="n">
        <f aca="false">M161+O161+P161</f>
        <v>221.23</v>
      </c>
      <c r="S161" s="7" t="n">
        <f aca="false">H161*I161</f>
        <v>420</v>
      </c>
      <c r="T161" s="7" t="n">
        <f aca="false">IF(K161="","",ROUND(H161*(1-K161),2))</f>
        <v>23.94</v>
      </c>
      <c r="U161" s="7" t="n">
        <f aca="false">ROUND(L161*I161/1.18,2)</f>
        <v>202.88</v>
      </c>
      <c r="V161" s="7" t="n">
        <f aca="false">ROUND(M161-U161,2)</f>
        <v>0</v>
      </c>
      <c r="W161" s="8" t="str">
        <f aca="false">IF(ABS(V161)&gt;0.011,"CHECK","OK")</f>
        <v>OK</v>
      </c>
    </row>
    <row r="162" customFormat="false" ht="15" hidden="false" customHeight="false" outlineLevel="0" collapsed="false">
      <c r="A162" s="2" t="s">
        <v>285</v>
      </c>
      <c r="B162" s="2" t="s">
        <v>24</v>
      </c>
      <c r="C162" s="3" t="s">
        <v>30</v>
      </c>
      <c r="D162" s="2" t="n">
        <v>37</v>
      </c>
      <c r="E162" s="3" t="s">
        <v>369</v>
      </c>
      <c r="F162" s="3" t="s">
        <v>370</v>
      </c>
      <c r="G162" s="2" t="s">
        <v>33</v>
      </c>
      <c r="H162" s="4" t="n">
        <v>166</v>
      </c>
      <c r="I162" s="5" t="n">
        <v>2</v>
      </c>
      <c r="J162" s="2"/>
      <c r="K162" s="6" t="n">
        <v>0.43</v>
      </c>
      <c r="L162" s="4" t="n">
        <v>94.62</v>
      </c>
      <c r="M162" s="4" t="n">
        <v>160.37</v>
      </c>
      <c r="N162" s="6" t="n">
        <v>0.09</v>
      </c>
      <c r="O162" s="4" t="n">
        <v>14.43</v>
      </c>
      <c r="P162" s="6" t="n">
        <v>0.09</v>
      </c>
      <c r="Q162" s="4" t="n">
        <v>14.43</v>
      </c>
      <c r="R162" s="7" t="n">
        <f aca="false">M162+O162+P162</f>
        <v>174.89</v>
      </c>
      <c r="S162" s="7" t="n">
        <f aca="false">H162*I162</f>
        <v>332</v>
      </c>
      <c r="T162" s="7" t="n">
        <f aca="false">IF(K162="","",ROUND(H162*(1-K162),2))</f>
        <v>94.62</v>
      </c>
      <c r="U162" s="7" t="n">
        <f aca="false">ROUND(L162*I162/1.18,2)</f>
        <v>160.37</v>
      </c>
      <c r="V162" s="7" t="n">
        <f aca="false">ROUND(M162-U162,2)</f>
        <v>0</v>
      </c>
      <c r="W162" s="8" t="str">
        <f aca="false">IF(ABS(V162)&gt;0.011,"CHECK","OK")</f>
        <v>OK</v>
      </c>
    </row>
    <row r="163" customFormat="false" ht="15" hidden="false" customHeight="false" outlineLevel="0" collapsed="false">
      <c r="A163" s="2" t="s">
        <v>285</v>
      </c>
      <c r="B163" s="2" t="s">
        <v>24</v>
      </c>
      <c r="C163" s="3" t="s">
        <v>30</v>
      </c>
      <c r="D163" s="2" t="n">
        <v>38</v>
      </c>
      <c r="E163" s="3" t="s">
        <v>371</v>
      </c>
      <c r="F163" s="3" t="s">
        <v>372</v>
      </c>
      <c r="G163" s="2" t="s">
        <v>33</v>
      </c>
      <c r="H163" s="4" t="n">
        <v>9</v>
      </c>
      <c r="I163" s="5" t="n">
        <v>25</v>
      </c>
      <c r="J163" s="2"/>
      <c r="K163" s="6" t="n">
        <v>0.43</v>
      </c>
      <c r="L163" s="4" t="n">
        <v>5.13</v>
      </c>
      <c r="M163" s="4" t="n">
        <v>108.69</v>
      </c>
      <c r="N163" s="6" t="n">
        <v>0.09</v>
      </c>
      <c r="O163" s="4" t="n">
        <v>9.78</v>
      </c>
      <c r="P163" s="6" t="n">
        <v>0.09</v>
      </c>
      <c r="Q163" s="4" t="n">
        <v>9.78</v>
      </c>
      <c r="R163" s="7" t="n">
        <f aca="false">M163+O163+P163</f>
        <v>118.56</v>
      </c>
      <c r="S163" s="7" t="n">
        <f aca="false">H163*I163</f>
        <v>225</v>
      </c>
      <c r="T163" s="7" t="n">
        <f aca="false">IF(K163="","",ROUND(H163*(1-K163),2))</f>
        <v>5.13</v>
      </c>
      <c r="U163" s="7" t="n">
        <f aca="false">ROUND(L163*I163/1.18,2)</f>
        <v>108.69</v>
      </c>
      <c r="V163" s="7" t="n">
        <f aca="false">ROUND(M163-U163,2)</f>
        <v>0</v>
      </c>
      <c r="W163" s="8" t="str">
        <f aca="false">IF(ABS(V163)&gt;0.011,"CHECK","OK")</f>
        <v>OK</v>
      </c>
    </row>
    <row r="164" customFormat="false" ht="15" hidden="false" customHeight="false" outlineLevel="0" collapsed="false">
      <c r="A164" s="2" t="s">
        <v>285</v>
      </c>
      <c r="B164" s="2" t="s">
        <v>24</v>
      </c>
      <c r="C164" s="3" t="s">
        <v>30</v>
      </c>
      <c r="D164" s="2" t="n">
        <v>39</v>
      </c>
      <c r="E164" s="3" t="s">
        <v>371</v>
      </c>
      <c r="F164" s="3" t="s">
        <v>372</v>
      </c>
      <c r="G164" s="2" t="s">
        <v>33</v>
      </c>
      <c r="H164" s="4" t="n">
        <v>9</v>
      </c>
      <c r="I164" s="5" t="n">
        <v>50</v>
      </c>
      <c r="J164" s="2"/>
      <c r="K164" s="6" t="n">
        <v>0.43</v>
      </c>
      <c r="L164" s="4" t="n">
        <v>5.13</v>
      </c>
      <c r="M164" s="4" t="n">
        <v>217.37</v>
      </c>
      <c r="N164" s="6" t="n">
        <v>0.09</v>
      </c>
      <c r="O164" s="4" t="n">
        <v>19.56</v>
      </c>
      <c r="P164" s="6" t="n">
        <v>0.09</v>
      </c>
      <c r="Q164" s="4" t="n">
        <v>19.56</v>
      </c>
      <c r="R164" s="7" t="n">
        <f aca="false">M164+O164+P164</f>
        <v>237.02</v>
      </c>
      <c r="S164" s="7" t="n">
        <f aca="false">H164*I164</f>
        <v>450</v>
      </c>
      <c r="T164" s="7" t="n">
        <f aca="false">IF(K164="","",ROUND(H164*(1-K164),2))</f>
        <v>5.13</v>
      </c>
      <c r="U164" s="7" t="n">
        <f aca="false">ROUND(L164*I164/1.18,2)</f>
        <v>217.37</v>
      </c>
      <c r="V164" s="7" t="n">
        <f aca="false">ROUND(M164-U164,2)</f>
        <v>0</v>
      </c>
      <c r="W164" s="8" t="str">
        <f aca="false">IF(ABS(V164)&gt;0.011,"CHECK","OK")</f>
        <v>OK</v>
      </c>
    </row>
    <row r="165" customFormat="false" ht="15" hidden="false" customHeight="false" outlineLevel="0" collapsed="false">
      <c r="A165" s="2" t="s">
        <v>285</v>
      </c>
      <c r="B165" s="2" t="s">
        <v>24</v>
      </c>
      <c r="C165" s="3" t="s">
        <v>30</v>
      </c>
      <c r="D165" s="2" t="n">
        <v>40</v>
      </c>
      <c r="E165" s="3" t="s">
        <v>373</v>
      </c>
      <c r="F165" s="3" t="s">
        <v>374</v>
      </c>
      <c r="G165" s="2" t="s">
        <v>33</v>
      </c>
      <c r="H165" s="4" t="n">
        <v>3</v>
      </c>
      <c r="I165" s="5" t="n">
        <v>100</v>
      </c>
      <c r="J165" s="2"/>
      <c r="K165" s="6" t="n">
        <v>0.43</v>
      </c>
      <c r="L165" s="4" t="n">
        <v>1.71</v>
      </c>
      <c r="M165" s="4" t="n">
        <v>144.92</v>
      </c>
      <c r="N165" s="6" t="n">
        <v>0.09</v>
      </c>
      <c r="O165" s="4" t="n">
        <v>13.04</v>
      </c>
      <c r="P165" s="6" t="n">
        <v>0.09</v>
      </c>
      <c r="Q165" s="4" t="n">
        <v>13.04</v>
      </c>
      <c r="R165" s="7" t="n">
        <f aca="false">M165+O165+P165</f>
        <v>158.05</v>
      </c>
      <c r="S165" s="7" t="n">
        <f aca="false">H165*I165</f>
        <v>300</v>
      </c>
      <c r="T165" s="7" t="n">
        <f aca="false">IF(K165="","",ROUND(H165*(1-K165),2))</f>
        <v>1.71</v>
      </c>
      <c r="U165" s="7" t="n">
        <f aca="false">ROUND(L165*I165/1.18,2)</f>
        <v>144.92</v>
      </c>
      <c r="V165" s="7" t="n">
        <f aca="false">ROUND(M165-U165,2)</f>
        <v>0</v>
      </c>
      <c r="W165" s="8" t="str">
        <f aca="false">IF(ABS(V165)&gt;0.011,"CHECK","OK")</f>
        <v>OK</v>
      </c>
    </row>
    <row r="166" customFormat="false" ht="15" hidden="false" customHeight="false" outlineLevel="0" collapsed="false">
      <c r="A166" s="2" t="s">
        <v>285</v>
      </c>
      <c r="B166" s="2" t="s">
        <v>24</v>
      </c>
      <c r="C166" s="3" t="s">
        <v>30</v>
      </c>
      <c r="D166" s="2" t="n">
        <v>41</v>
      </c>
      <c r="E166" s="3" t="s">
        <v>375</v>
      </c>
      <c r="F166" s="3" t="s">
        <v>376</v>
      </c>
      <c r="G166" s="2" t="s">
        <v>33</v>
      </c>
      <c r="H166" s="4" t="n">
        <v>7</v>
      </c>
      <c r="I166" s="5" t="n">
        <v>50</v>
      </c>
      <c r="J166" s="2"/>
      <c r="K166" s="6" t="n">
        <v>0.43</v>
      </c>
      <c r="L166" s="4" t="n">
        <v>3.99</v>
      </c>
      <c r="M166" s="4" t="n">
        <v>169.07</v>
      </c>
      <c r="N166" s="6" t="n">
        <v>0.09</v>
      </c>
      <c r="O166" s="4" t="n">
        <v>15.21</v>
      </c>
      <c r="P166" s="6" t="n">
        <v>0.09</v>
      </c>
      <c r="Q166" s="4" t="n">
        <v>15.21</v>
      </c>
      <c r="R166" s="7" t="n">
        <f aca="false">M166+O166+P166</f>
        <v>184.37</v>
      </c>
      <c r="S166" s="7" t="n">
        <f aca="false">H166*I166</f>
        <v>350</v>
      </c>
      <c r="T166" s="7" t="n">
        <f aca="false">IF(K166="","",ROUND(H166*(1-K166),2))</f>
        <v>3.99</v>
      </c>
      <c r="U166" s="7" t="n">
        <f aca="false">ROUND(L166*I166/1.18,2)</f>
        <v>169.07</v>
      </c>
      <c r="V166" s="7" t="n">
        <f aca="false">ROUND(M166-U166,2)</f>
        <v>0</v>
      </c>
      <c r="W166" s="8" t="str">
        <f aca="false">IF(ABS(V166)&gt;0.011,"CHECK","OK")</f>
        <v>OK</v>
      </c>
    </row>
    <row r="167" customFormat="false" ht="15" hidden="false" customHeight="false" outlineLevel="0" collapsed="false">
      <c r="A167" s="2" t="s">
        <v>285</v>
      </c>
      <c r="B167" s="2" t="s">
        <v>24</v>
      </c>
      <c r="C167" s="3" t="s">
        <v>30</v>
      </c>
      <c r="D167" s="2" t="n">
        <v>42</v>
      </c>
      <c r="E167" s="3" t="s">
        <v>377</v>
      </c>
      <c r="F167" s="3" t="s">
        <v>378</v>
      </c>
      <c r="G167" s="2" t="s">
        <v>33</v>
      </c>
      <c r="H167" s="4" t="n">
        <v>70</v>
      </c>
      <c r="I167" s="5" t="n">
        <v>5</v>
      </c>
      <c r="J167" s="2"/>
      <c r="K167" s="6" t="n">
        <v>0.43</v>
      </c>
      <c r="L167" s="4" t="n">
        <v>39.9</v>
      </c>
      <c r="M167" s="4" t="n">
        <v>169.07</v>
      </c>
      <c r="N167" s="6" t="n">
        <v>0.09</v>
      </c>
      <c r="O167" s="4" t="n">
        <v>15.21</v>
      </c>
      <c r="P167" s="6" t="n">
        <v>0.09</v>
      </c>
      <c r="Q167" s="4" t="n">
        <v>15.21</v>
      </c>
      <c r="R167" s="7" t="n">
        <f aca="false">M167+O167+P167</f>
        <v>184.37</v>
      </c>
      <c r="S167" s="7" t="n">
        <f aca="false">H167*I167</f>
        <v>350</v>
      </c>
      <c r="T167" s="7" t="n">
        <f aca="false">IF(K167="","",ROUND(H167*(1-K167),2))</f>
        <v>39.9</v>
      </c>
      <c r="U167" s="7" t="n">
        <f aca="false">ROUND(L167*I167/1.18,2)</f>
        <v>169.07</v>
      </c>
      <c r="V167" s="7" t="n">
        <f aca="false">ROUND(M167-U167,2)</f>
        <v>0</v>
      </c>
      <c r="W167" s="8" t="str">
        <f aca="false">IF(ABS(V167)&gt;0.011,"CHECK","OK")</f>
        <v>OK</v>
      </c>
    </row>
    <row r="168" customFormat="false" ht="15" hidden="false" customHeight="false" outlineLevel="0" collapsed="false">
      <c r="A168" s="2" t="s">
        <v>285</v>
      </c>
      <c r="B168" s="2" t="s">
        <v>24</v>
      </c>
      <c r="C168" s="3" t="s">
        <v>30</v>
      </c>
      <c r="D168" s="2" t="n">
        <v>43</v>
      </c>
      <c r="E168" s="3" t="s">
        <v>379</v>
      </c>
      <c r="F168" s="3" t="s">
        <v>380</v>
      </c>
      <c r="G168" s="2" t="s">
        <v>33</v>
      </c>
      <c r="H168" s="4" t="n">
        <v>9</v>
      </c>
      <c r="I168" s="5" t="n">
        <v>25</v>
      </c>
      <c r="J168" s="2"/>
      <c r="K168" s="6" t="n">
        <v>0.43</v>
      </c>
      <c r="L168" s="4" t="n">
        <v>5.13</v>
      </c>
      <c r="M168" s="4" t="n">
        <v>108.69</v>
      </c>
      <c r="N168" s="6" t="n">
        <v>0.09</v>
      </c>
      <c r="O168" s="4" t="n">
        <v>9.78</v>
      </c>
      <c r="P168" s="6" t="n">
        <v>0.09</v>
      </c>
      <c r="Q168" s="4" t="n">
        <v>9.78</v>
      </c>
      <c r="R168" s="7" t="n">
        <f aca="false">M168+O168+P168</f>
        <v>118.56</v>
      </c>
      <c r="S168" s="7" t="n">
        <f aca="false">H168*I168</f>
        <v>225</v>
      </c>
      <c r="T168" s="7" t="n">
        <f aca="false">IF(K168="","",ROUND(H168*(1-K168),2))</f>
        <v>5.13</v>
      </c>
      <c r="U168" s="7" t="n">
        <f aca="false">ROUND(L168*I168/1.18,2)</f>
        <v>108.69</v>
      </c>
      <c r="V168" s="7" t="n">
        <f aca="false">ROUND(M168-U168,2)</f>
        <v>0</v>
      </c>
      <c r="W168" s="8" t="str">
        <f aca="false">IF(ABS(V168)&gt;0.011,"CHECK","OK")</f>
        <v>OK</v>
      </c>
    </row>
    <row r="169" customFormat="false" ht="15" hidden="false" customHeight="false" outlineLevel="0" collapsed="false">
      <c r="A169" s="2" t="s">
        <v>285</v>
      </c>
      <c r="B169" s="2" t="s">
        <v>24</v>
      </c>
      <c r="C169" s="3" t="s">
        <v>30</v>
      </c>
      <c r="D169" s="2" t="n">
        <v>44</v>
      </c>
      <c r="E169" s="3" t="s">
        <v>381</v>
      </c>
      <c r="F169" s="3" t="s">
        <v>382</v>
      </c>
      <c r="G169" s="2" t="s">
        <v>33</v>
      </c>
      <c r="H169" s="4" t="n">
        <v>53</v>
      </c>
      <c r="I169" s="5" t="n">
        <v>10</v>
      </c>
      <c r="J169" s="2" t="s">
        <v>40</v>
      </c>
      <c r="K169" s="6" t="n">
        <v>0.43</v>
      </c>
      <c r="L169" s="4" t="n">
        <v>30.21</v>
      </c>
      <c r="M169" s="4" t="n">
        <v>256.02</v>
      </c>
      <c r="N169" s="6" t="n">
        <v>0.09</v>
      </c>
      <c r="O169" s="4" t="n">
        <v>23.04</v>
      </c>
      <c r="P169" s="6" t="n">
        <v>0.09</v>
      </c>
      <c r="Q169" s="4" t="n">
        <v>23.04</v>
      </c>
      <c r="R169" s="7" t="n">
        <f aca="false">M169+O169+P169</f>
        <v>279.15</v>
      </c>
      <c r="S169" s="7" t="n">
        <f aca="false">H169*I169</f>
        <v>530</v>
      </c>
      <c r="T169" s="7" t="n">
        <f aca="false">IF(K169="","",ROUND(H169*(1-K169),2))</f>
        <v>30.21</v>
      </c>
      <c r="U169" s="7" t="n">
        <f aca="false">ROUND(L169*I169/1.18,2)</f>
        <v>256.02</v>
      </c>
      <c r="V169" s="7" t="n">
        <f aca="false">ROUND(M169-U169,2)</f>
        <v>0</v>
      </c>
      <c r="W169" s="8" t="str">
        <f aca="false">IF(ABS(V169)&gt;0.011,"CHECK","OK")</f>
        <v>OK</v>
      </c>
    </row>
    <row r="170" customFormat="false" ht="15" hidden="false" customHeight="false" outlineLevel="0" collapsed="false">
      <c r="A170" s="2" t="s">
        <v>285</v>
      </c>
      <c r="B170" s="2" t="s">
        <v>24</v>
      </c>
      <c r="C170" s="3" t="s">
        <v>30</v>
      </c>
      <c r="D170" s="2" t="n">
        <v>45</v>
      </c>
      <c r="E170" s="3" t="s">
        <v>383</v>
      </c>
      <c r="F170" s="3" t="s">
        <v>384</v>
      </c>
      <c r="G170" s="2" t="s">
        <v>33</v>
      </c>
      <c r="H170" s="4" t="n">
        <v>5</v>
      </c>
      <c r="I170" s="5" t="n">
        <v>75</v>
      </c>
      <c r="J170" s="2" t="s">
        <v>29</v>
      </c>
      <c r="K170" s="6" t="n">
        <v>0.43</v>
      </c>
      <c r="L170" s="4" t="n">
        <v>2.85</v>
      </c>
      <c r="M170" s="4" t="n">
        <v>181.14</v>
      </c>
      <c r="N170" s="6" t="n">
        <v>0.09</v>
      </c>
      <c r="O170" s="4" t="n">
        <v>16.3</v>
      </c>
      <c r="P170" s="6" t="n">
        <v>0.09</v>
      </c>
      <c r="Q170" s="4" t="n">
        <v>16.3</v>
      </c>
      <c r="R170" s="7" t="n">
        <f aca="false">M170+O170+P170</f>
        <v>197.53</v>
      </c>
      <c r="S170" s="7" t="n">
        <f aca="false">H170*I170</f>
        <v>375</v>
      </c>
      <c r="T170" s="7" t="n">
        <f aca="false">IF(K170="","",ROUND(H170*(1-K170),2))</f>
        <v>2.85</v>
      </c>
      <c r="U170" s="7" t="n">
        <f aca="false">ROUND(L170*I170/1.18,2)</f>
        <v>181.14</v>
      </c>
      <c r="V170" s="7" t="n">
        <f aca="false">ROUND(M170-U170,2)</f>
        <v>0</v>
      </c>
      <c r="W170" s="8" t="str">
        <f aca="false">IF(ABS(V170)&gt;0.011,"CHECK","OK")</f>
        <v>OK</v>
      </c>
    </row>
    <row r="171" customFormat="false" ht="15" hidden="false" customHeight="false" outlineLevel="0" collapsed="false">
      <c r="A171" s="2" t="s">
        <v>285</v>
      </c>
      <c r="B171" s="2" t="s">
        <v>24</v>
      </c>
      <c r="C171" s="3" t="s">
        <v>30</v>
      </c>
      <c r="D171" s="2" t="n">
        <v>46</v>
      </c>
      <c r="E171" s="3" t="s">
        <v>385</v>
      </c>
      <c r="F171" s="3" t="s">
        <v>386</v>
      </c>
      <c r="G171" s="2" t="s">
        <v>33</v>
      </c>
      <c r="H171" s="4" t="n">
        <v>26</v>
      </c>
      <c r="I171" s="5" t="n">
        <v>10</v>
      </c>
      <c r="J171" s="2"/>
      <c r="K171" s="6" t="n">
        <v>0.43</v>
      </c>
      <c r="L171" s="4" t="n">
        <v>14.82</v>
      </c>
      <c r="M171" s="4" t="n">
        <v>125.59</v>
      </c>
      <c r="N171" s="6" t="n">
        <v>0.09</v>
      </c>
      <c r="O171" s="4" t="n">
        <v>11.3</v>
      </c>
      <c r="P171" s="6" t="n">
        <v>0.09</v>
      </c>
      <c r="Q171" s="4" t="n">
        <v>11.3</v>
      </c>
      <c r="R171" s="7" t="n">
        <f aca="false">M171+O171+P171</f>
        <v>136.98</v>
      </c>
      <c r="S171" s="7" t="n">
        <f aca="false">H171*I171</f>
        <v>260</v>
      </c>
      <c r="T171" s="7" t="n">
        <f aca="false">IF(K171="","",ROUND(H171*(1-K171),2))</f>
        <v>14.82</v>
      </c>
      <c r="U171" s="7" t="n">
        <f aca="false">ROUND(L171*I171/1.18,2)</f>
        <v>125.59</v>
      </c>
      <c r="V171" s="7" t="n">
        <f aca="false">ROUND(M171-U171,2)</f>
        <v>0</v>
      </c>
      <c r="W171" s="8" t="str">
        <f aca="false">IF(ABS(V171)&gt;0.011,"CHECK","OK")</f>
        <v>OK</v>
      </c>
    </row>
    <row r="172" customFormat="false" ht="15" hidden="false" customHeight="false" outlineLevel="0" collapsed="false">
      <c r="A172" s="2" t="s">
        <v>285</v>
      </c>
      <c r="B172" s="2" t="s">
        <v>24</v>
      </c>
      <c r="C172" s="3" t="s">
        <v>30</v>
      </c>
      <c r="D172" s="2" t="n">
        <v>47</v>
      </c>
      <c r="E172" s="3" t="s">
        <v>387</v>
      </c>
      <c r="F172" s="3" t="s">
        <v>388</v>
      </c>
      <c r="G172" s="2" t="s">
        <v>33</v>
      </c>
      <c r="H172" s="4" t="n">
        <v>47</v>
      </c>
      <c r="I172" s="5" t="n">
        <v>10</v>
      </c>
      <c r="J172" s="2"/>
      <c r="K172" s="6" t="n">
        <v>0.43</v>
      </c>
      <c r="L172" s="4" t="n">
        <v>26.79</v>
      </c>
      <c r="M172" s="4" t="n">
        <v>227.03</v>
      </c>
      <c r="N172" s="6" t="n">
        <v>0.09</v>
      </c>
      <c r="O172" s="4" t="n">
        <v>20.43</v>
      </c>
      <c r="P172" s="6" t="n">
        <v>0.09</v>
      </c>
      <c r="Q172" s="4" t="n">
        <v>20.43</v>
      </c>
      <c r="R172" s="7" t="n">
        <f aca="false">M172+O172+P172</f>
        <v>247.55</v>
      </c>
      <c r="S172" s="7" t="n">
        <f aca="false">H172*I172</f>
        <v>470</v>
      </c>
      <c r="T172" s="7" t="n">
        <f aca="false">IF(K172="","",ROUND(H172*(1-K172),2))</f>
        <v>26.79</v>
      </c>
      <c r="U172" s="7" t="n">
        <f aca="false">ROUND(L172*I172/1.18,2)</f>
        <v>227.03</v>
      </c>
      <c r="V172" s="7" t="n">
        <f aca="false">ROUND(M172-U172,2)</f>
        <v>0</v>
      </c>
      <c r="W172" s="8" t="str">
        <f aca="false">IF(ABS(V172)&gt;0.011,"CHECK","OK")</f>
        <v>OK</v>
      </c>
    </row>
    <row r="173" customFormat="false" ht="15" hidden="false" customHeight="false" outlineLevel="0" collapsed="false">
      <c r="A173" s="2" t="s">
        <v>285</v>
      </c>
      <c r="B173" s="2" t="s">
        <v>24</v>
      </c>
      <c r="C173" s="3" t="s">
        <v>30</v>
      </c>
      <c r="D173" s="2" t="n">
        <v>48</v>
      </c>
      <c r="E173" s="3" t="s">
        <v>389</v>
      </c>
      <c r="F173" s="3" t="s">
        <v>390</v>
      </c>
      <c r="G173" s="2" t="s">
        <v>33</v>
      </c>
      <c r="H173" s="4" t="n">
        <v>5</v>
      </c>
      <c r="I173" s="5" t="n">
        <v>100</v>
      </c>
      <c r="J173" s="2"/>
      <c r="K173" s="6" t="n">
        <v>0.43</v>
      </c>
      <c r="L173" s="4" t="n">
        <v>2.85</v>
      </c>
      <c r="M173" s="4" t="n">
        <v>241.53</v>
      </c>
      <c r="N173" s="6" t="n">
        <v>0.09</v>
      </c>
      <c r="O173" s="4" t="n">
        <v>21.73</v>
      </c>
      <c r="P173" s="6" t="n">
        <v>0.09</v>
      </c>
      <c r="Q173" s="4" t="n">
        <v>21.73</v>
      </c>
      <c r="R173" s="7" t="n">
        <f aca="false">M173+O173+P173</f>
        <v>263.35</v>
      </c>
      <c r="S173" s="7" t="n">
        <f aca="false">H173*I173</f>
        <v>500</v>
      </c>
      <c r="T173" s="7" t="n">
        <f aca="false">IF(K173="","",ROUND(H173*(1-K173),2))</f>
        <v>2.85</v>
      </c>
      <c r="U173" s="7" t="n">
        <f aca="false">ROUND(L173*I173/1.18,2)</f>
        <v>241.53</v>
      </c>
      <c r="V173" s="7" t="n">
        <f aca="false">ROUND(M173-U173,2)</f>
        <v>0</v>
      </c>
      <c r="W173" s="8" t="str">
        <f aca="false">IF(ABS(V173)&gt;0.011,"CHECK","OK")</f>
        <v>OK</v>
      </c>
    </row>
    <row r="174" customFormat="false" ht="15" hidden="false" customHeight="false" outlineLevel="0" collapsed="false">
      <c r="A174" s="2" t="s">
        <v>285</v>
      </c>
      <c r="B174" s="2" t="s">
        <v>24</v>
      </c>
      <c r="C174" s="3" t="s">
        <v>30</v>
      </c>
      <c r="D174" s="2" t="n">
        <v>49</v>
      </c>
      <c r="E174" s="3" t="s">
        <v>391</v>
      </c>
      <c r="F174" s="3" t="s">
        <v>392</v>
      </c>
      <c r="G174" s="2" t="s">
        <v>33</v>
      </c>
      <c r="H174" s="4" t="n">
        <v>27</v>
      </c>
      <c r="I174" s="5" t="n">
        <v>10</v>
      </c>
      <c r="J174" s="2"/>
      <c r="K174" s="6" t="n">
        <v>0.43</v>
      </c>
      <c r="L174" s="4" t="n">
        <v>15.39</v>
      </c>
      <c r="M174" s="4" t="n">
        <v>130.42</v>
      </c>
      <c r="N174" s="6" t="n">
        <v>0.09</v>
      </c>
      <c r="O174" s="4" t="n">
        <v>11.74</v>
      </c>
      <c r="P174" s="6" t="n">
        <v>0.09</v>
      </c>
      <c r="Q174" s="4" t="n">
        <v>11.74</v>
      </c>
      <c r="R174" s="7" t="n">
        <f aca="false">M174+O174+P174</f>
        <v>142.25</v>
      </c>
      <c r="S174" s="7" t="n">
        <f aca="false">H174*I174</f>
        <v>270</v>
      </c>
      <c r="T174" s="7" t="n">
        <f aca="false">IF(K174="","",ROUND(H174*(1-K174),2))</f>
        <v>15.39</v>
      </c>
      <c r="U174" s="7" t="n">
        <f aca="false">ROUND(L174*I174/1.18,2)</f>
        <v>130.42</v>
      </c>
      <c r="V174" s="7" t="n">
        <f aca="false">ROUND(M174-U174,2)</f>
        <v>0</v>
      </c>
      <c r="W174" s="8" t="str">
        <f aca="false">IF(ABS(V174)&gt;0.011,"CHECK","OK")</f>
        <v>OK</v>
      </c>
    </row>
    <row r="175" customFormat="false" ht="15" hidden="false" customHeight="false" outlineLevel="0" collapsed="false">
      <c r="A175" s="2" t="s">
        <v>285</v>
      </c>
      <c r="B175" s="2" t="s">
        <v>24</v>
      </c>
      <c r="C175" s="3" t="s">
        <v>30</v>
      </c>
      <c r="D175" s="2" t="n">
        <v>50</v>
      </c>
      <c r="E175" s="3" t="s">
        <v>393</v>
      </c>
      <c r="F175" s="3" t="s">
        <v>394</v>
      </c>
      <c r="G175" s="2" t="s">
        <v>33</v>
      </c>
      <c r="H175" s="4" t="n">
        <v>44</v>
      </c>
      <c r="I175" s="5" t="n">
        <v>10</v>
      </c>
      <c r="J175" s="2" t="s">
        <v>29</v>
      </c>
      <c r="K175" s="6" t="n">
        <v>0.43</v>
      </c>
      <c r="L175" s="4" t="n">
        <v>25.08</v>
      </c>
      <c r="M175" s="4" t="n">
        <v>212.54</v>
      </c>
      <c r="N175" s="6" t="n">
        <v>0.09</v>
      </c>
      <c r="O175" s="4" t="n">
        <v>19.13</v>
      </c>
      <c r="P175" s="6" t="n">
        <v>0.09</v>
      </c>
      <c r="Q175" s="4" t="n">
        <v>19.13</v>
      </c>
      <c r="R175" s="7" t="n">
        <f aca="false">M175+O175+P175</f>
        <v>231.76</v>
      </c>
      <c r="S175" s="7" t="n">
        <f aca="false">H175*I175</f>
        <v>440</v>
      </c>
      <c r="T175" s="7" t="n">
        <f aca="false">IF(K175="","",ROUND(H175*(1-K175),2))</f>
        <v>25.08</v>
      </c>
      <c r="U175" s="7" t="n">
        <f aca="false">ROUND(L175*I175/1.18,2)</f>
        <v>212.54</v>
      </c>
      <c r="V175" s="7" t="n">
        <f aca="false">ROUND(M175-U175,2)</f>
        <v>0</v>
      </c>
      <c r="W175" s="8" t="str">
        <f aca="false">IF(ABS(V175)&gt;0.011,"CHECK","OK")</f>
        <v>OK</v>
      </c>
    </row>
    <row r="176" customFormat="false" ht="15" hidden="false" customHeight="false" outlineLevel="0" collapsed="false">
      <c r="A176" s="2" t="s">
        <v>285</v>
      </c>
      <c r="B176" s="2" t="s">
        <v>24</v>
      </c>
      <c r="C176" s="3" t="s">
        <v>30</v>
      </c>
      <c r="D176" s="2" t="n">
        <v>51</v>
      </c>
      <c r="E176" s="3" t="s">
        <v>395</v>
      </c>
      <c r="F176" s="3" t="s">
        <v>396</v>
      </c>
      <c r="G176" s="2" t="s">
        <v>33</v>
      </c>
      <c r="H176" s="4" t="n">
        <v>65</v>
      </c>
      <c r="I176" s="5" t="n">
        <v>5</v>
      </c>
      <c r="J176" s="2"/>
      <c r="K176" s="6" t="n">
        <v>0.43</v>
      </c>
      <c r="L176" s="4" t="n">
        <v>37.05</v>
      </c>
      <c r="M176" s="4" t="n">
        <v>156.99</v>
      </c>
      <c r="N176" s="6" t="n">
        <v>0.09</v>
      </c>
      <c r="O176" s="4" t="n">
        <v>14.13</v>
      </c>
      <c r="P176" s="6" t="n">
        <v>0.09</v>
      </c>
      <c r="Q176" s="4" t="n">
        <v>14.13</v>
      </c>
      <c r="R176" s="7" t="n">
        <f aca="false">M176+O176+P176</f>
        <v>171.21</v>
      </c>
      <c r="S176" s="7" t="n">
        <f aca="false">H176*I176</f>
        <v>325</v>
      </c>
      <c r="T176" s="7" t="n">
        <f aca="false">IF(K176="","",ROUND(H176*(1-K176),2))</f>
        <v>37.05</v>
      </c>
      <c r="U176" s="7" t="n">
        <f aca="false">ROUND(L176*I176/1.18,2)</f>
        <v>156.99</v>
      </c>
      <c r="V176" s="7" t="n">
        <f aca="false">ROUND(M176-U176,2)</f>
        <v>0</v>
      </c>
      <c r="W176" s="8" t="str">
        <f aca="false">IF(ABS(V176)&gt;0.011,"CHECK","OK")</f>
        <v>OK</v>
      </c>
    </row>
    <row r="177" customFormat="false" ht="15" hidden="false" customHeight="false" outlineLevel="0" collapsed="false">
      <c r="A177" s="2" t="s">
        <v>285</v>
      </c>
      <c r="B177" s="2" t="s">
        <v>24</v>
      </c>
      <c r="C177" s="3" t="s">
        <v>30</v>
      </c>
      <c r="D177" s="2" t="n">
        <v>52</v>
      </c>
      <c r="E177" s="3" t="s">
        <v>397</v>
      </c>
      <c r="F177" s="3" t="s">
        <v>398</v>
      </c>
      <c r="G177" s="2" t="s">
        <v>33</v>
      </c>
      <c r="H177" s="4" t="n">
        <v>14</v>
      </c>
      <c r="I177" s="5" t="n">
        <v>20</v>
      </c>
      <c r="J177" s="2" t="s">
        <v>29</v>
      </c>
      <c r="K177" s="6" t="n">
        <v>0.43</v>
      </c>
      <c r="L177" s="4" t="n">
        <v>7.98</v>
      </c>
      <c r="M177" s="4" t="n">
        <v>135.25</v>
      </c>
      <c r="N177" s="6" t="n">
        <v>0.09</v>
      </c>
      <c r="O177" s="4" t="n">
        <v>12.17</v>
      </c>
      <c r="P177" s="6" t="n">
        <v>0.09</v>
      </c>
      <c r="Q177" s="4" t="n">
        <v>12.17</v>
      </c>
      <c r="R177" s="7" t="n">
        <f aca="false">M177+O177+P177</f>
        <v>147.51</v>
      </c>
      <c r="S177" s="7" t="n">
        <f aca="false">H177*I177</f>
        <v>280</v>
      </c>
      <c r="T177" s="7" t="n">
        <f aca="false">IF(K177="","",ROUND(H177*(1-K177),2))</f>
        <v>7.98</v>
      </c>
      <c r="U177" s="7" t="n">
        <f aca="false">ROUND(L177*I177/1.18,2)</f>
        <v>135.25</v>
      </c>
      <c r="V177" s="7" t="n">
        <f aca="false">ROUND(M177-U177,2)</f>
        <v>0</v>
      </c>
      <c r="W177" s="8" t="str">
        <f aca="false">IF(ABS(V177)&gt;0.011,"CHECK","OK")</f>
        <v>OK</v>
      </c>
    </row>
    <row r="178" customFormat="false" ht="15" hidden="false" customHeight="false" outlineLevel="0" collapsed="false">
      <c r="A178" s="2" t="s">
        <v>285</v>
      </c>
      <c r="B178" s="2" t="s">
        <v>24</v>
      </c>
      <c r="C178" s="3" t="s">
        <v>30</v>
      </c>
      <c r="D178" s="2" t="n">
        <v>53</v>
      </c>
      <c r="E178" s="3" t="s">
        <v>399</v>
      </c>
      <c r="F178" s="3" t="s">
        <v>400</v>
      </c>
      <c r="G178" s="2" t="s">
        <v>33</v>
      </c>
      <c r="H178" s="4" t="n">
        <v>17.02</v>
      </c>
      <c r="I178" s="5" t="n">
        <v>10</v>
      </c>
      <c r="J178" s="2" t="s">
        <v>40</v>
      </c>
      <c r="K178" s="6" t="n">
        <v>0.43</v>
      </c>
      <c r="L178" s="4" t="n">
        <v>9.7</v>
      </c>
      <c r="M178" s="4" t="n">
        <v>82.21</v>
      </c>
      <c r="N178" s="6" t="n">
        <v>0.09</v>
      </c>
      <c r="O178" s="4" t="n">
        <v>7.4</v>
      </c>
      <c r="P178" s="6" t="n">
        <v>0.09</v>
      </c>
      <c r="Q178" s="4" t="n">
        <v>7.4</v>
      </c>
      <c r="R178" s="7" t="n">
        <f aca="false">M178+O178+P178</f>
        <v>89.7</v>
      </c>
      <c r="S178" s="7" t="n">
        <f aca="false">H178*I178</f>
        <v>170.2</v>
      </c>
      <c r="T178" s="7" t="n">
        <f aca="false">IF(K178="","",ROUND(H178*(1-K178),2))</f>
        <v>9.7</v>
      </c>
      <c r="U178" s="7" t="n">
        <f aca="false">ROUND(L178*I178/1.18,2)</f>
        <v>82.2</v>
      </c>
      <c r="V178" s="7" t="n">
        <f aca="false">ROUND(M178-U178,2)</f>
        <v>0.01</v>
      </c>
      <c r="W178" s="8" t="str">
        <f aca="false">IF(ABS(V178)&gt;0.011,"CHECK","OK")</f>
        <v>OK</v>
      </c>
    </row>
    <row r="179" customFormat="false" ht="15" hidden="false" customHeight="false" outlineLevel="0" collapsed="false">
      <c r="A179" s="2" t="s">
        <v>285</v>
      </c>
      <c r="B179" s="2" t="s">
        <v>24</v>
      </c>
      <c r="C179" s="3" t="s">
        <v>401</v>
      </c>
      <c r="D179" s="2" t="n">
        <v>54</v>
      </c>
      <c r="E179" s="3" t="s">
        <v>402</v>
      </c>
      <c r="F179" s="3" t="s">
        <v>403</v>
      </c>
      <c r="G179" s="2" t="s">
        <v>404</v>
      </c>
      <c r="H179" s="4" t="n">
        <v>1329</v>
      </c>
      <c r="I179" s="5" t="n">
        <v>2</v>
      </c>
      <c r="J179" s="2" t="s">
        <v>29</v>
      </c>
      <c r="K179" s="6" t="n">
        <v>0.28</v>
      </c>
      <c r="L179" s="4" t="n">
        <v>956.88</v>
      </c>
      <c r="M179" s="4" t="n">
        <v>1621.83</v>
      </c>
      <c r="N179" s="6" t="n">
        <v>0.09</v>
      </c>
      <c r="O179" s="4" t="n">
        <v>145.96</v>
      </c>
      <c r="P179" s="6" t="n">
        <v>0.09</v>
      </c>
      <c r="Q179" s="4" t="n">
        <v>145.96</v>
      </c>
      <c r="R179" s="7" t="n">
        <f aca="false">M179+O179+P179</f>
        <v>1767.88</v>
      </c>
      <c r="S179" s="7" t="n">
        <f aca="false">H179*I179</f>
        <v>2658</v>
      </c>
      <c r="T179" s="7" t="n">
        <f aca="false">IF(K179="","",ROUND(H179*(1-K179),2))</f>
        <v>956.88</v>
      </c>
      <c r="U179" s="7" t="n">
        <f aca="false">ROUND(L179*I179/1.18,2)</f>
        <v>1621.83</v>
      </c>
      <c r="V179" s="7" t="n">
        <f aca="false">ROUND(M179-U179,2)</f>
        <v>0</v>
      </c>
      <c r="W179" s="8" t="str">
        <f aca="false">IF(ABS(V179)&gt;0.011,"CHECK","OK")</f>
        <v>OK</v>
      </c>
    </row>
    <row r="180" customFormat="false" ht="15" hidden="false" customHeight="false" outlineLevel="0" collapsed="false">
      <c r="A180" s="2" t="s">
        <v>285</v>
      </c>
      <c r="B180" s="2" t="s">
        <v>24</v>
      </c>
      <c r="C180" s="3" t="s">
        <v>401</v>
      </c>
      <c r="D180" s="2" t="n">
        <v>55</v>
      </c>
      <c r="E180" s="3" t="s">
        <v>405</v>
      </c>
      <c r="F180" s="3" t="s">
        <v>406</v>
      </c>
      <c r="G180" s="2" t="s">
        <v>407</v>
      </c>
      <c r="H180" s="4" t="n">
        <v>69</v>
      </c>
      <c r="I180" s="5" t="n">
        <v>25</v>
      </c>
      <c r="J180" s="2" t="s">
        <v>29</v>
      </c>
      <c r="K180" s="6" t="n">
        <v>0.28</v>
      </c>
      <c r="L180" s="4" t="n">
        <v>49.68</v>
      </c>
      <c r="M180" s="4" t="n">
        <v>1052.54</v>
      </c>
      <c r="N180" s="6" t="n">
        <v>0.09</v>
      </c>
      <c r="O180" s="4" t="n">
        <v>94.73</v>
      </c>
      <c r="P180" s="6" t="n">
        <v>0.09</v>
      </c>
      <c r="Q180" s="4" t="n">
        <v>94.73</v>
      </c>
      <c r="R180" s="7" t="n">
        <f aca="false">M180+O180+P180</f>
        <v>1147.36</v>
      </c>
      <c r="S180" s="7" t="n">
        <f aca="false">H180*I180</f>
        <v>1725</v>
      </c>
      <c r="T180" s="7" t="n">
        <f aca="false">IF(K180="","",ROUND(H180*(1-K180),2))</f>
        <v>49.68</v>
      </c>
      <c r="U180" s="7" t="n">
        <f aca="false">ROUND(L180*I180/1.18,2)</f>
        <v>1052.54</v>
      </c>
      <c r="V180" s="7" t="n">
        <f aca="false">ROUND(M180-U180,2)</f>
        <v>0</v>
      </c>
      <c r="W180" s="8" t="str">
        <f aca="false">IF(ABS(V180)&gt;0.011,"CHECK","OK")</f>
        <v>OK</v>
      </c>
    </row>
    <row r="181" customFormat="false" ht="15" hidden="false" customHeight="false" outlineLevel="0" collapsed="false">
      <c r="A181" s="2" t="s">
        <v>285</v>
      </c>
      <c r="B181" s="2" t="s">
        <v>24</v>
      </c>
      <c r="C181" s="3" t="s">
        <v>401</v>
      </c>
      <c r="D181" s="2" t="n">
        <v>56</v>
      </c>
      <c r="E181" s="3" t="s">
        <v>408</v>
      </c>
      <c r="F181" s="3" t="s">
        <v>409</v>
      </c>
      <c r="G181" s="2" t="s">
        <v>404</v>
      </c>
      <c r="H181" s="4" t="n">
        <v>1587</v>
      </c>
      <c r="I181" s="5" t="n">
        <v>2</v>
      </c>
      <c r="J181" s="2" t="s">
        <v>29</v>
      </c>
      <c r="K181" s="6" t="n">
        <v>0.28</v>
      </c>
      <c r="L181" s="4" t="n">
        <v>1142.64</v>
      </c>
      <c r="M181" s="4" t="n">
        <v>1936.68</v>
      </c>
      <c r="N181" s="6" t="n">
        <v>0.09</v>
      </c>
      <c r="O181" s="4" t="n">
        <v>174.3</v>
      </c>
      <c r="P181" s="6" t="n">
        <v>0.09</v>
      </c>
      <c r="Q181" s="4" t="n">
        <v>174.3</v>
      </c>
      <c r="R181" s="7" t="n">
        <f aca="false">M181+O181+P181</f>
        <v>2111.07</v>
      </c>
      <c r="S181" s="7" t="n">
        <f aca="false">H181*I181</f>
        <v>3174</v>
      </c>
      <c r="T181" s="7" t="n">
        <f aca="false">IF(K181="","",ROUND(H181*(1-K181),2))</f>
        <v>1142.64</v>
      </c>
      <c r="U181" s="7" t="n">
        <f aca="false">ROUND(L181*I181/1.18,2)</f>
        <v>1936.68</v>
      </c>
      <c r="V181" s="7" t="n">
        <f aca="false">ROUND(M181-U181,2)</f>
        <v>0</v>
      </c>
      <c r="W181" s="8" t="str">
        <f aca="false">IF(ABS(V181)&gt;0.011,"CHECK","OK")</f>
        <v>OK</v>
      </c>
    </row>
    <row r="182" customFormat="false" ht="15" hidden="false" customHeight="false" outlineLevel="0" collapsed="false">
      <c r="A182" s="2" t="s">
        <v>285</v>
      </c>
      <c r="B182" s="2" t="s">
        <v>24</v>
      </c>
      <c r="C182" s="3" t="s">
        <v>401</v>
      </c>
      <c r="D182" s="2" t="n">
        <v>57</v>
      </c>
      <c r="E182" s="3" t="s">
        <v>410</v>
      </c>
      <c r="F182" s="3" t="s">
        <v>411</v>
      </c>
      <c r="G182" s="2" t="s">
        <v>404</v>
      </c>
      <c r="H182" s="4" t="n">
        <v>1427</v>
      </c>
      <c r="I182" s="5" t="n">
        <v>2</v>
      </c>
      <c r="J182" s="2" t="s">
        <v>29</v>
      </c>
      <c r="K182" s="6" t="n">
        <v>0.28</v>
      </c>
      <c r="L182" s="4" t="n">
        <v>1027.44</v>
      </c>
      <c r="M182" s="4" t="n">
        <v>1741.42</v>
      </c>
      <c r="N182" s="6" t="n">
        <v>0.09</v>
      </c>
      <c r="O182" s="4" t="n">
        <v>156.73</v>
      </c>
      <c r="P182" s="6" t="n">
        <v>0.09</v>
      </c>
      <c r="Q182" s="4" t="n">
        <v>156.73</v>
      </c>
      <c r="R182" s="7" t="n">
        <f aca="false">M182+O182+P182</f>
        <v>1898.24</v>
      </c>
      <c r="S182" s="7" t="n">
        <f aca="false">H182*I182</f>
        <v>2854</v>
      </c>
      <c r="T182" s="7" t="n">
        <f aca="false">IF(K182="","",ROUND(H182*(1-K182),2))</f>
        <v>1027.44</v>
      </c>
      <c r="U182" s="7" t="n">
        <f aca="false">ROUND(L182*I182/1.18,2)</f>
        <v>1741.42</v>
      </c>
      <c r="V182" s="7" t="n">
        <f aca="false">ROUND(M182-U182,2)</f>
        <v>0</v>
      </c>
      <c r="W182" s="8" t="str">
        <f aca="false">IF(ABS(V182)&gt;0.011,"CHECK","OK")</f>
        <v>OK</v>
      </c>
    </row>
    <row r="183" customFormat="false" ht="15" hidden="false" customHeight="false" outlineLevel="0" collapsed="false">
      <c r="A183" s="2" t="s">
        <v>285</v>
      </c>
      <c r="B183" s="2" t="s">
        <v>24</v>
      </c>
      <c r="C183" s="3" t="s">
        <v>401</v>
      </c>
      <c r="D183" s="2" t="n">
        <v>58</v>
      </c>
      <c r="E183" s="3" t="s">
        <v>412</v>
      </c>
      <c r="F183" s="3" t="s">
        <v>413</v>
      </c>
      <c r="G183" s="2" t="s">
        <v>404</v>
      </c>
      <c r="H183" s="4" t="n">
        <v>794</v>
      </c>
      <c r="I183" s="5" t="n">
        <v>2</v>
      </c>
      <c r="J183" s="2" t="s">
        <v>29</v>
      </c>
      <c r="K183" s="6" t="n">
        <v>0.28</v>
      </c>
      <c r="L183" s="4" t="n">
        <v>571.68</v>
      </c>
      <c r="M183" s="4" t="n">
        <v>968.95</v>
      </c>
      <c r="N183" s="6" t="n">
        <v>0.09</v>
      </c>
      <c r="O183" s="4" t="n">
        <v>87.2</v>
      </c>
      <c r="P183" s="6" t="n">
        <v>0.09</v>
      </c>
      <c r="Q183" s="4" t="n">
        <v>87.2</v>
      </c>
      <c r="R183" s="7" t="n">
        <f aca="false">M183+O183+P183</f>
        <v>1056.24</v>
      </c>
      <c r="S183" s="7" t="n">
        <f aca="false">H183*I183</f>
        <v>1588</v>
      </c>
      <c r="T183" s="7" t="n">
        <f aca="false">IF(K183="","",ROUND(H183*(1-K183),2))</f>
        <v>571.68</v>
      </c>
      <c r="U183" s="7" t="n">
        <f aca="false">ROUND(L183*I183/1.18,2)</f>
        <v>968.95</v>
      </c>
      <c r="V183" s="7" t="n">
        <f aca="false">ROUND(M183-U183,2)</f>
        <v>0</v>
      </c>
      <c r="W183" s="8" t="str">
        <f aca="false">IF(ABS(V183)&gt;0.011,"CHECK","OK")</f>
        <v>OK</v>
      </c>
    </row>
    <row r="184" customFormat="false" ht="15" hidden="false" customHeight="false" outlineLevel="0" collapsed="false">
      <c r="A184" s="2" t="s">
        <v>285</v>
      </c>
      <c r="B184" s="2" t="s">
        <v>24</v>
      </c>
      <c r="C184" s="3" t="s">
        <v>401</v>
      </c>
      <c r="D184" s="2" t="n">
        <v>59</v>
      </c>
      <c r="E184" s="3" t="s">
        <v>414</v>
      </c>
      <c r="F184" s="3" t="s">
        <v>415</v>
      </c>
      <c r="G184" s="2" t="s">
        <v>416</v>
      </c>
      <c r="H184" s="4" t="n">
        <v>1060</v>
      </c>
      <c r="I184" s="5" t="n">
        <v>2</v>
      </c>
      <c r="J184" s="2" t="s">
        <v>29</v>
      </c>
      <c r="K184" s="6" t="n">
        <v>0.28</v>
      </c>
      <c r="L184" s="4" t="n">
        <v>763.2</v>
      </c>
      <c r="M184" s="4" t="n">
        <v>1293.56</v>
      </c>
      <c r="N184" s="6" t="n">
        <v>0.09</v>
      </c>
      <c r="O184" s="4" t="n">
        <v>116.42</v>
      </c>
      <c r="P184" s="6" t="n">
        <v>0.09</v>
      </c>
      <c r="Q184" s="4" t="n">
        <v>116.42</v>
      </c>
      <c r="R184" s="7" t="n">
        <f aca="false">M184+O184+P184</f>
        <v>1410.07</v>
      </c>
      <c r="S184" s="7" t="n">
        <f aca="false">H184*I184</f>
        <v>2120</v>
      </c>
      <c r="T184" s="7" t="n">
        <f aca="false">IF(K184="","",ROUND(H184*(1-K184),2))</f>
        <v>763.2</v>
      </c>
      <c r="U184" s="7" t="n">
        <f aca="false">ROUND(L184*I184/1.18,2)</f>
        <v>1293.56</v>
      </c>
      <c r="V184" s="7" t="n">
        <f aca="false">ROUND(M184-U184,2)</f>
        <v>0</v>
      </c>
      <c r="W184" s="8" t="str">
        <f aca="false">IF(ABS(V184)&gt;0.011,"CHECK","OK")</f>
        <v>OK</v>
      </c>
    </row>
    <row r="185" customFormat="false" ht="15" hidden="false" customHeight="false" outlineLevel="0" collapsed="false">
      <c r="A185" s="2" t="s">
        <v>285</v>
      </c>
      <c r="B185" s="2" t="s">
        <v>24</v>
      </c>
      <c r="C185" s="3" t="s">
        <v>401</v>
      </c>
      <c r="D185" s="2" t="n">
        <v>60</v>
      </c>
      <c r="E185" s="3" t="s">
        <v>417</v>
      </c>
      <c r="F185" s="3" t="s">
        <v>418</v>
      </c>
      <c r="G185" s="2" t="s">
        <v>407</v>
      </c>
      <c r="H185" s="4" t="n">
        <v>67</v>
      </c>
      <c r="I185" s="5" t="n">
        <v>18</v>
      </c>
      <c r="J185" s="2" t="s">
        <v>29</v>
      </c>
      <c r="K185" s="6" t="n">
        <v>0.28</v>
      </c>
      <c r="L185" s="4" t="n">
        <v>48.24</v>
      </c>
      <c r="M185" s="4" t="n">
        <v>735.86</v>
      </c>
      <c r="N185" s="6" t="n">
        <v>0.09</v>
      </c>
      <c r="O185" s="4" t="n">
        <v>66.23</v>
      </c>
      <c r="P185" s="6" t="n">
        <v>0.09</v>
      </c>
      <c r="Q185" s="4" t="n">
        <v>66.23</v>
      </c>
      <c r="R185" s="7" t="n">
        <f aca="false">M185+O185+P185</f>
        <v>802.18</v>
      </c>
      <c r="S185" s="7" t="n">
        <f aca="false">H185*I185</f>
        <v>1206</v>
      </c>
      <c r="T185" s="7" t="n">
        <f aca="false">IF(K185="","",ROUND(H185*(1-K185),2))</f>
        <v>48.24</v>
      </c>
      <c r="U185" s="7" t="n">
        <f aca="false">ROUND(L185*I185/1.18,2)</f>
        <v>735.86</v>
      </c>
      <c r="V185" s="7" t="n">
        <f aca="false">ROUND(M185-U185,2)</f>
        <v>0</v>
      </c>
      <c r="W185" s="8" t="str">
        <f aca="false">IF(ABS(V185)&gt;0.011,"CHECK","OK")</f>
        <v>OK</v>
      </c>
    </row>
    <row r="186" customFormat="false" ht="15" hidden="false" customHeight="false" outlineLevel="0" collapsed="false">
      <c r="A186" s="2" t="s">
        <v>285</v>
      </c>
      <c r="B186" s="2" t="s">
        <v>24</v>
      </c>
      <c r="C186" s="3" t="s">
        <v>401</v>
      </c>
      <c r="D186" s="2" t="n">
        <v>61</v>
      </c>
      <c r="E186" s="3" t="s">
        <v>419</v>
      </c>
      <c r="F186" s="3" t="s">
        <v>420</v>
      </c>
      <c r="G186" s="2" t="s">
        <v>407</v>
      </c>
      <c r="H186" s="4" t="n">
        <v>94</v>
      </c>
      <c r="I186" s="5" t="n">
        <v>25</v>
      </c>
      <c r="J186" s="2" t="s">
        <v>40</v>
      </c>
      <c r="K186" s="6" t="n">
        <v>0.28</v>
      </c>
      <c r="L186" s="4" t="n">
        <v>67.68</v>
      </c>
      <c r="M186" s="4" t="n">
        <v>1433.9</v>
      </c>
      <c r="N186" s="6" t="n">
        <v>0.09</v>
      </c>
      <c r="O186" s="4" t="n">
        <v>129.05</v>
      </c>
      <c r="P186" s="6" t="n">
        <v>0.09</v>
      </c>
      <c r="Q186" s="4" t="n">
        <v>129.05</v>
      </c>
      <c r="R186" s="7" t="n">
        <f aca="false">M186+O186+P186</f>
        <v>1563.04</v>
      </c>
      <c r="S186" s="7" t="n">
        <f aca="false">H186*I186</f>
        <v>2350</v>
      </c>
      <c r="T186" s="7" t="n">
        <f aca="false">IF(K186="","",ROUND(H186*(1-K186),2))</f>
        <v>67.68</v>
      </c>
      <c r="U186" s="7" t="n">
        <f aca="false">ROUND(L186*I186/1.18,2)</f>
        <v>1433.9</v>
      </c>
      <c r="V186" s="7" t="n">
        <f aca="false">ROUND(M186-U186,2)</f>
        <v>0</v>
      </c>
      <c r="W186" s="8" t="str">
        <f aca="false">IF(ABS(V186)&gt;0.011,"CHECK","OK")</f>
        <v>OK</v>
      </c>
    </row>
    <row r="187" customFormat="false" ht="15" hidden="false" customHeight="false" outlineLevel="0" collapsed="false">
      <c r="A187" s="2" t="s">
        <v>285</v>
      </c>
      <c r="B187" s="2" t="s">
        <v>24</v>
      </c>
      <c r="C187" s="3" t="s">
        <v>401</v>
      </c>
      <c r="D187" s="2" t="n">
        <v>62</v>
      </c>
      <c r="E187" s="3" t="s">
        <v>421</v>
      </c>
      <c r="F187" s="3" t="s">
        <v>422</v>
      </c>
      <c r="G187" s="2" t="s">
        <v>404</v>
      </c>
      <c r="H187" s="4" t="n">
        <v>187</v>
      </c>
      <c r="I187" s="5" t="n">
        <v>5</v>
      </c>
      <c r="J187" s="2" t="s">
        <v>29</v>
      </c>
      <c r="K187" s="6" t="n">
        <v>0.28</v>
      </c>
      <c r="L187" s="4" t="n">
        <v>134.64</v>
      </c>
      <c r="M187" s="4" t="n">
        <v>570.51</v>
      </c>
      <c r="N187" s="6" t="n">
        <v>0.09</v>
      </c>
      <c r="O187" s="4" t="n">
        <v>51.34</v>
      </c>
      <c r="P187" s="6" t="n">
        <v>0.09</v>
      </c>
      <c r="Q187" s="4" t="n">
        <v>51.34</v>
      </c>
      <c r="R187" s="7" t="n">
        <f aca="false">M187+O187+P187</f>
        <v>621.94</v>
      </c>
      <c r="S187" s="7" t="n">
        <f aca="false">H187*I187</f>
        <v>935</v>
      </c>
      <c r="T187" s="7" t="n">
        <f aca="false">IF(K187="","",ROUND(H187*(1-K187),2))</f>
        <v>134.64</v>
      </c>
      <c r="U187" s="7" t="n">
        <f aca="false">ROUND(L187*I187/1.18,2)</f>
        <v>570.51</v>
      </c>
      <c r="V187" s="7" t="n">
        <f aca="false">ROUND(M187-U187,2)</f>
        <v>0</v>
      </c>
      <c r="W187" s="8" t="str">
        <f aca="false">IF(ABS(V187)&gt;0.011,"CHECK","OK")</f>
        <v>OK</v>
      </c>
    </row>
    <row r="188" customFormat="false" ht="15" hidden="false" customHeight="false" outlineLevel="0" collapsed="false">
      <c r="A188" s="2" t="s">
        <v>285</v>
      </c>
      <c r="B188" s="2" t="s">
        <v>24</v>
      </c>
      <c r="C188" s="3" t="s">
        <v>401</v>
      </c>
      <c r="D188" s="2" t="n">
        <v>63</v>
      </c>
      <c r="E188" s="3" t="s">
        <v>423</v>
      </c>
      <c r="F188" s="3" t="s">
        <v>424</v>
      </c>
      <c r="G188" s="2" t="s">
        <v>404</v>
      </c>
      <c r="H188" s="4" t="n">
        <v>192</v>
      </c>
      <c r="I188" s="5" t="n">
        <v>20</v>
      </c>
      <c r="J188" s="2" t="s">
        <v>29</v>
      </c>
      <c r="K188" s="6" t="n">
        <v>0.28</v>
      </c>
      <c r="L188" s="4" t="n">
        <v>138.24</v>
      </c>
      <c r="M188" s="4" t="n">
        <v>2343.05</v>
      </c>
      <c r="N188" s="6" t="n">
        <v>0.09</v>
      </c>
      <c r="O188" s="4" t="n">
        <v>210.87</v>
      </c>
      <c r="P188" s="6" t="n">
        <v>0.09</v>
      </c>
      <c r="Q188" s="4" t="n">
        <v>210.87</v>
      </c>
      <c r="R188" s="7" t="n">
        <f aca="false">M188+O188+P188</f>
        <v>2554.01</v>
      </c>
      <c r="S188" s="7" t="n">
        <f aca="false">H188*I188</f>
        <v>3840</v>
      </c>
      <c r="T188" s="7" t="n">
        <f aca="false">IF(K188="","",ROUND(H188*(1-K188),2))</f>
        <v>138.24</v>
      </c>
      <c r="U188" s="7" t="n">
        <f aca="false">ROUND(L188*I188/1.18,2)</f>
        <v>2343.05</v>
      </c>
      <c r="V188" s="7" t="n">
        <f aca="false">ROUND(M188-U188,2)</f>
        <v>0</v>
      </c>
      <c r="W188" s="8" t="str">
        <f aca="false">IF(ABS(V188)&gt;0.011,"CHECK","OK")</f>
        <v>OK</v>
      </c>
    </row>
    <row r="189" customFormat="false" ht="15" hidden="false" customHeight="false" outlineLevel="0" collapsed="false">
      <c r="A189" s="2" t="s">
        <v>285</v>
      </c>
      <c r="B189" s="2" t="s">
        <v>24</v>
      </c>
      <c r="C189" s="3" t="s">
        <v>401</v>
      </c>
      <c r="D189" s="2" t="n">
        <v>64</v>
      </c>
      <c r="E189" s="3" t="s">
        <v>425</v>
      </c>
      <c r="F189" s="3" t="s">
        <v>426</v>
      </c>
      <c r="G189" s="2" t="s">
        <v>416</v>
      </c>
      <c r="H189" s="4" t="n">
        <v>1191</v>
      </c>
      <c r="I189" s="5" t="n">
        <v>2</v>
      </c>
      <c r="J189" s="2" t="s">
        <v>29</v>
      </c>
      <c r="K189" s="6" t="n">
        <v>0.28</v>
      </c>
      <c r="L189" s="4" t="n">
        <v>857.52</v>
      </c>
      <c r="M189" s="4" t="n">
        <v>1453.42</v>
      </c>
      <c r="N189" s="6" t="n">
        <v>0.09</v>
      </c>
      <c r="O189" s="4" t="n">
        <v>130.81</v>
      </c>
      <c r="P189" s="6" t="n">
        <v>0.09</v>
      </c>
      <c r="Q189" s="4" t="n">
        <v>130.81</v>
      </c>
      <c r="R189" s="7" t="n">
        <f aca="false">M189+O189+P189</f>
        <v>1584.32</v>
      </c>
      <c r="S189" s="7" t="n">
        <f aca="false">H189*I189</f>
        <v>2382</v>
      </c>
      <c r="T189" s="7" t="n">
        <f aca="false">IF(K189="","",ROUND(H189*(1-K189),2))</f>
        <v>857.52</v>
      </c>
      <c r="U189" s="7" t="n">
        <f aca="false">ROUND(L189*I189/1.18,2)</f>
        <v>1453.42</v>
      </c>
      <c r="V189" s="7" t="n">
        <f aca="false">ROUND(M189-U189,2)</f>
        <v>0</v>
      </c>
      <c r="W189" s="8" t="str">
        <f aca="false">IF(ABS(V189)&gt;0.011,"CHECK","OK")</f>
        <v>OK</v>
      </c>
    </row>
    <row r="190" customFormat="false" ht="15" hidden="false" customHeight="false" outlineLevel="0" collapsed="false">
      <c r="A190" s="2" t="s">
        <v>285</v>
      </c>
      <c r="B190" s="2" t="s">
        <v>24</v>
      </c>
      <c r="C190" s="3" t="s">
        <v>401</v>
      </c>
      <c r="D190" s="2" t="n">
        <v>65</v>
      </c>
      <c r="E190" s="3" t="s">
        <v>427</v>
      </c>
      <c r="F190" s="3" t="s">
        <v>428</v>
      </c>
      <c r="G190" s="2" t="s">
        <v>404</v>
      </c>
      <c r="H190" s="4" t="n">
        <v>216</v>
      </c>
      <c r="I190" s="5" t="n">
        <v>3</v>
      </c>
      <c r="J190" s="2" t="s">
        <v>29</v>
      </c>
      <c r="K190" s="6" t="n">
        <v>0.28</v>
      </c>
      <c r="L190" s="4" t="n">
        <v>155.52</v>
      </c>
      <c r="M190" s="4" t="n">
        <v>395.39</v>
      </c>
      <c r="N190" s="6" t="n">
        <v>0.09</v>
      </c>
      <c r="O190" s="4" t="n">
        <v>35.58</v>
      </c>
      <c r="P190" s="6" t="n">
        <v>0.09</v>
      </c>
      <c r="Q190" s="4" t="n">
        <v>35.58</v>
      </c>
      <c r="R190" s="7" t="n">
        <f aca="false">M190+O190+P190</f>
        <v>431.06</v>
      </c>
      <c r="S190" s="7" t="n">
        <f aca="false">H190*I190</f>
        <v>648</v>
      </c>
      <c r="T190" s="7" t="n">
        <f aca="false">IF(K190="","",ROUND(H190*(1-K190),2))</f>
        <v>155.52</v>
      </c>
      <c r="U190" s="7" t="n">
        <f aca="false">ROUND(L190*I190/1.18,2)</f>
        <v>395.39</v>
      </c>
      <c r="V190" s="7" t="n">
        <f aca="false">ROUND(M190-U190,2)</f>
        <v>0</v>
      </c>
      <c r="W190" s="8" t="str">
        <f aca="false">IF(ABS(V190)&gt;0.011,"CHECK","OK")</f>
        <v>OK</v>
      </c>
    </row>
    <row r="191" customFormat="false" ht="15" hidden="false" customHeight="false" outlineLevel="0" collapsed="false">
      <c r="A191" s="2" t="s">
        <v>285</v>
      </c>
      <c r="B191" s="2" t="s">
        <v>24</v>
      </c>
      <c r="C191" s="3" t="s">
        <v>401</v>
      </c>
      <c r="D191" s="2" t="n">
        <v>66</v>
      </c>
      <c r="E191" s="3" t="s">
        <v>429</v>
      </c>
      <c r="F191" s="3" t="s">
        <v>430</v>
      </c>
      <c r="G191" s="2" t="s">
        <v>404</v>
      </c>
      <c r="H191" s="4" t="n">
        <v>347</v>
      </c>
      <c r="I191" s="5" t="n">
        <v>3</v>
      </c>
      <c r="J191" s="2" t="s">
        <v>29</v>
      </c>
      <c r="K191" s="6" t="n">
        <v>0.28</v>
      </c>
      <c r="L191" s="4" t="n">
        <v>249.84</v>
      </c>
      <c r="M191" s="4" t="n">
        <v>635.19</v>
      </c>
      <c r="N191" s="6" t="n">
        <v>0.09</v>
      </c>
      <c r="O191" s="4" t="n">
        <v>57.16</v>
      </c>
      <c r="P191" s="6" t="n">
        <v>0.09</v>
      </c>
      <c r="Q191" s="4" t="n">
        <v>57.16</v>
      </c>
      <c r="R191" s="7" t="n">
        <f aca="false">M191+O191+P191</f>
        <v>692.44</v>
      </c>
      <c r="S191" s="7" t="n">
        <f aca="false">H191*I191</f>
        <v>1041</v>
      </c>
      <c r="T191" s="7" t="n">
        <f aca="false">IF(K191="","",ROUND(H191*(1-K191),2))</f>
        <v>249.84</v>
      </c>
      <c r="U191" s="7" t="n">
        <f aca="false">ROUND(L191*I191/1.18,2)</f>
        <v>635.19</v>
      </c>
      <c r="V191" s="7" t="n">
        <f aca="false">ROUND(M191-U191,2)</f>
        <v>0</v>
      </c>
      <c r="W191" s="8" t="str">
        <f aca="false">IF(ABS(V191)&gt;0.011,"CHECK","OK")</f>
        <v>OK</v>
      </c>
    </row>
    <row r="192" customFormat="false" ht="15" hidden="false" customHeight="false" outlineLevel="0" collapsed="false">
      <c r="A192" s="2" t="s">
        <v>285</v>
      </c>
      <c r="B192" s="2" t="s">
        <v>24</v>
      </c>
      <c r="C192" s="3" t="s">
        <v>401</v>
      </c>
      <c r="D192" s="2" t="n">
        <v>67</v>
      </c>
      <c r="E192" s="3" t="s">
        <v>431</v>
      </c>
      <c r="F192" s="3" t="s">
        <v>432</v>
      </c>
      <c r="G192" s="2" t="s">
        <v>416</v>
      </c>
      <c r="H192" s="4" t="n">
        <v>1382</v>
      </c>
      <c r="I192" s="5" t="n">
        <v>2</v>
      </c>
      <c r="J192" s="2" t="s">
        <v>29</v>
      </c>
      <c r="K192" s="6" t="n">
        <v>0.28</v>
      </c>
      <c r="L192" s="4" t="n">
        <v>995.04</v>
      </c>
      <c r="M192" s="4" t="n">
        <v>1686.51</v>
      </c>
      <c r="N192" s="6" t="n">
        <v>0.09</v>
      </c>
      <c r="O192" s="4" t="n">
        <v>151.78</v>
      </c>
      <c r="P192" s="6" t="n">
        <v>0.09</v>
      </c>
      <c r="Q192" s="4" t="n">
        <v>151.78</v>
      </c>
      <c r="R192" s="7" t="n">
        <f aca="false">M192+O192+P192</f>
        <v>1838.38</v>
      </c>
      <c r="S192" s="7" t="n">
        <f aca="false">H192*I192</f>
        <v>2764</v>
      </c>
      <c r="T192" s="7" t="n">
        <f aca="false">IF(K192="","",ROUND(H192*(1-K192),2))</f>
        <v>995.04</v>
      </c>
      <c r="U192" s="7" t="n">
        <f aca="false">ROUND(L192*I192/1.18,2)</f>
        <v>1686.51</v>
      </c>
      <c r="V192" s="7" t="n">
        <f aca="false">ROUND(M192-U192,2)</f>
        <v>0</v>
      </c>
      <c r="W192" s="8" t="str">
        <f aca="false">IF(ABS(V192)&gt;0.011,"CHECK","OK")</f>
        <v>OK</v>
      </c>
    </row>
    <row r="193" customFormat="false" ht="15" hidden="false" customHeight="false" outlineLevel="0" collapsed="false">
      <c r="A193" s="2" t="s">
        <v>285</v>
      </c>
      <c r="B193" s="2" t="s">
        <v>24</v>
      </c>
      <c r="C193" s="3" t="s">
        <v>401</v>
      </c>
      <c r="D193" s="2" t="n">
        <v>68</v>
      </c>
      <c r="E193" s="3" t="s">
        <v>433</v>
      </c>
      <c r="F193" s="3" t="s">
        <v>434</v>
      </c>
      <c r="G193" s="2" t="s">
        <v>404</v>
      </c>
      <c r="H193" s="4" t="n">
        <v>1493</v>
      </c>
      <c r="I193" s="5" t="n">
        <v>2</v>
      </c>
      <c r="J193" s="2" t="s">
        <v>29</v>
      </c>
      <c r="K193" s="6" t="n">
        <v>0.28</v>
      </c>
      <c r="L193" s="4" t="n">
        <v>1074.96</v>
      </c>
      <c r="M193" s="4" t="n">
        <v>1821.97</v>
      </c>
      <c r="N193" s="6" t="n">
        <v>0.09</v>
      </c>
      <c r="O193" s="4" t="n">
        <v>163.97</v>
      </c>
      <c r="P193" s="6" t="n">
        <v>0.09</v>
      </c>
      <c r="Q193" s="4" t="n">
        <v>163.97</v>
      </c>
      <c r="R193" s="7" t="n">
        <f aca="false">M193+O193+P193</f>
        <v>1986.03</v>
      </c>
      <c r="S193" s="7" t="n">
        <f aca="false">H193*I193</f>
        <v>2986</v>
      </c>
      <c r="T193" s="7" t="n">
        <f aca="false">IF(K193="","",ROUND(H193*(1-K193),2))</f>
        <v>1074.96</v>
      </c>
      <c r="U193" s="7" t="n">
        <f aca="false">ROUND(L193*I193/1.18,2)</f>
        <v>1821.97</v>
      </c>
      <c r="V193" s="7" t="n">
        <f aca="false">ROUND(M193-U193,2)</f>
        <v>0</v>
      </c>
      <c r="W193" s="8" t="str">
        <f aca="false">IF(ABS(V193)&gt;0.011,"CHECK","OK")</f>
        <v>OK</v>
      </c>
    </row>
    <row r="194" customFormat="false" ht="15" hidden="false" customHeight="false" outlineLevel="0" collapsed="false">
      <c r="A194" s="2" t="s">
        <v>285</v>
      </c>
      <c r="B194" s="2" t="s">
        <v>24</v>
      </c>
      <c r="C194" s="3" t="s">
        <v>435</v>
      </c>
      <c r="D194" s="2" t="n">
        <v>69</v>
      </c>
      <c r="E194" s="3" t="s">
        <v>436</v>
      </c>
      <c r="F194" s="3" t="s">
        <v>437</v>
      </c>
      <c r="G194" s="2" t="s">
        <v>28</v>
      </c>
      <c r="H194" s="4" t="n">
        <v>160</v>
      </c>
      <c r="I194" s="5" t="n">
        <v>10</v>
      </c>
      <c r="J194" s="2" t="s">
        <v>29</v>
      </c>
      <c r="K194" s="6" t="n">
        <v>0.28</v>
      </c>
      <c r="L194" s="4" t="n">
        <v>115.2</v>
      </c>
      <c r="M194" s="4" t="n">
        <v>976.27</v>
      </c>
      <c r="N194" s="6" t="n">
        <v>0.09</v>
      </c>
      <c r="O194" s="4" t="n">
        <v>87.86</v>
      </c>
      <c r="P194" s="6" t="n">
        <v>0.09</v>
      </c>
      <c r="Q194" s="4" t="n">
        <v>87.86</v>
      </c>
      <c r="R194" s="7" t="n">
        <f aca="false">M194+O194+P194</f>
        <v>1064.22</v>
      </c>
      <c r="S194" s="7" t="n">
        <f aca="false">H194*I194</f>
        <v>1600</v>
      </c>
      <c r="T194" s="7" t="n">
        <f aca="false">IF(K194="","",ROUND(H194*(1-K194),2))</f>
        <v>115.2</v>
      </c>
      <c r="U194" s="7" t="n">
        <f aca="false">ROUND(L194*I194/1.18,2)</f>
        <v>976.27</v>
      </c>
      <c r="V194" s="7" t="n">
        <f aca="false">ROUND(M194-U194,2)</f>
        <v>0</v>
      </c>
      <c r="W194" s="8" t="str">
        <f aca="false">IF(ABS(V194)&gt;0.011,"CHECK","OK")</f>
        <v>OK</v>
      </c>
    </row>
    <row r="195" customFormat="false" ht="15" hidden="false" customHeight="false" outlineLevel="0" collapsed="false">
      <c r="A195" s="2" t="s">
        <v>285</v>
      </c>
      <c r="B195" s="2" t="s">
        <v>24</v>
      </c>
      <c r="C195" s="3" t="s">
        <v>438</v>
      </c>
      <c r="D195" s="2" t="n">
        <v>70</v>
      </c>
      <c r="E195" s="3" t="s">
        <v>439</v>
      </c>
      <c r="F195" s="3" t="s">
        <v>440</v>
      </c>
      <c r="G195" s="2" t="s">
        <v>441</v>
      </c>
      <c r="H195" s="4" t="n">
        <v>321</v>
      </c>
      <c r="I195" s="5" t="n">
        <v>3</v>
      </c>
      <c r="J195" s="2" t="s">
        <v>29</v>
      </c>
      <c r="K195" s="6" t="n">
        <v>0.4</v>
      </c>
      <c r="L195" s="4" t="n">
        <v>192.6</v>
      </c>
      <c r="M195" s="4" t="n">
        <v>489.66</v>
      </c>
      <c r="N195" s="6" t="n">
        <v>0.09</v>
      </c>
      <c r="O195" s="4" t="n">
        <v>44.07</v>
      </c>
      <c r="P195" s="6" t="n">
        <v>0.09</v>
      </c>
      <c r="Q195" s="4" t="n">
        <v>44.07</v>
      </c>
      <c r="R195" s="7" t="n">
        <f aca="false">M195+O195+P195</f>
        <v>533.82</v>
      </c>
      <c r="S195" s="7" t="n">
        <f aca="false">H195*I195</f>
        <v>963</v>
      </c>
      <c r="T195" s="7" t="n">
        <f aca="false">IF(K195="","",ROUND(H195*(1-K195),2))</f>
        <v>192.6</v>
      </c>
      <c r="U195" s="7" t="n">
        <f aca="false">ROUND(L195*I195/1.18,2)</f>
        <v>489.66</v>
      </c>
      <c r="V195" s="7" t="n">
        <f aca="false">ROUND(M195-U195,2)</f>
        <v>0</v>
      </c>
      <c r="W195" s="8" t="str">
        <f aca="false">IF(ABS(V195)&gt;0.011,"CHECK","OK")</f>
        <v>OK</v>
      </c>
    </row>
    <row r="196" customFormat="false" ht="15" hidden="false" customHeight="false" outlineLevel="0" collapsed="false">
      <c r="A196" s="2" t="s">
        <v>285</v>
      </c>
      <c r="B196" s="2" t="s">
        <v>24</v>
      </c>
      <c r="C196" s="3" t="s">
        <v>438</v>
      </c>
      <c r="D196" s="2" t="n">
        <v>71</v>
      </c>
      <c r="E196" s="3" t="s">
        <v>442</v>
      </c>
      <c r="F196" s="3" t="s">
        <v>443</v>
      </c>
      <c r="G196" s="2" t="s">
        <v>441</v>
      </c>
      <c r="H196" s="4" t="n">
        <v>265</v>
      </c>
      <c r="I196" s="5" t="n">
        <v>4</v>
      </c>
      <c r="J196" s="2" t="s">
        <v>29</v>
      </c>
      <c r="K196" s="6" t="n">
        <v>0.4</v>
      </c>
      <c r="L196" s="4" t="n">
        <v>159</v>
      </c>
      <c r="M196" s="4" t="n">
        <v>538.98</v>
      </c>
      <c r="N196" s="6" t="n">
        <v>0.09</v>
      </c>
      <c r="O196" s="4" t="n">
        <v>48.51</v>
      </c>
      <c r="P196" s="6" t="n">
        <v>0.09</v>
      </c>
      <c r="Q196" s="4" t="n">
        <v>48.51</v>
      </c>
      <c r="R196" s="7" t="n">
        <f aca="false">M196+O196+P196</f>
        <v>587.58</v>
      </c>
      <c r="S196" s="7" t="n">
        <f aca="false">H196*I196</f>
        <v>1060</v>
      </c>
      <c r="T196" s="7" t="n">
        <f aca="false">IF(K196="","",ROUND(H196*(1-K196),2))</f>
        <v>159</v>
      </c>
      <c r="U196" s="7" t="n">
        <f aca="false">ROUND(L196*I196/1.18,2)</f>
        <v>538.98</v>
      </c>
      <c r="V196" s="7" t="n">
        <f aca="false">ROUND(M196-U196,2)</f>
        <v>0</v>
      </c>
      <c r="W196" s="8" t="str">
        <f aca="false">IF(ABS(V196)&gt;0.011,"CHECK","OK")</f>
        <v>OK</v>
      </c>
    </row>
    <row r="197" customFormat="false" ht="15" hidden="false" customHeight="false" outlineLevel="0" collapsed="false">
      <c r="A197" s="2" t="s">
        <v>285</v>
      </c>
      <c r="B197" s="2" t="s">
        <v>24</v>
      </c>
      <c r="C197" s="3" t="s">
        <v>438</v>
      </c>
      <c r="D197" s="2" t="n">
        <v>72</v>
      </c>
      <c r="E197" s="3" t="s">
        <v>444</v>
      </c>
      <c r="F197" s="3" t="s">
        <v>445</v>
      </c>
      <c r="G197" s="2" t="s">
        <v>441</v>
      </c>
      <c r="H197" s="4" t="n">
        <v>365</v>
      </c>
      <c r="I197" s="5" t="n">
        <v>1</v>
      </c>
      <c r="J197" s="2" t="s">
        <v>29</v>
      </c>
      <c r="K197" s="6" t="n">
        <v>0.4</v>
      </c>
      <c r="L197" s="4" t="n">
        <v>219</v>
      </c>
      <c r="M197" s="4" t="n">
        <v>185.59</v>
      </c>
      <c r="N197" s="6" t="n">
        <v>0.09</v>
      </c>
      <c r="O197" s="4" t="n">
        <v>16.7</v>
      </c>
      <c r="P197" s="6" t="n">
        <v>0.09</v>
      </c>
      <c r="Q197" s="4" t="n">
        <v>16.7</v>
      </c>
      <c r="R197" s="7" t="n">
        <f aca="false">M197+O197+P197</f>
        <v>202.38</v>
      </c>
      <c r="S197" s="7" t="n">
        <f aca="false">H197*I197</f>
        <v>365</v>
      </c>
      <c r="T197" s="7" t="n">
        <f aca="false">IF(K197="","",ROUND(H197*(1-K197),2))</f>
        <v>219</v>
      </c>
      <c r="U197" s="7" t="n">
        <f aca="false">ROUND(L197*I197/1.18,2)</f>
        <v>185.59</v>
      </c>
      <c r="V197" s="7" t="n">
        <f aca="false">ROUND(M197-U197,2)</f>
        <v>0</v>
      </c>
      <c r="W197" s="8" t="str">
        <f aca="false">IF(ABS(V197)&gt;0.011,"CHECK","OK")</f>
        <v>OK</v>
      </c>
    </row>
    <row r="198" customFormat="false" ht="15" hidden="false" customHeight="false" outlineLevel="0" collapsed="false">
      <c r="A198" s="2" t="s">
        <v>285</v>
      </c>
      <c r="B198" s="2" t="s">
        <v>24</v>
      </c>
      <c r="C198" s="3" t="s">
        <v>438</v>
      </c>
      <c r="D198" s="2" t="n">
        <v>73</v>
      </c>
      <c r="E198" s="3" t="s">
        <v>446</v>
      </c>
      <c r="F198" s="3" t="s">
        <v>447</v>
      </c>
      <c r="G198" s="2" t="s">
        <v>441</v>
      </c>
      <c r="H198" s="4" t="n">
        <v>285</v>
      </c>
      <c r="I198" s="5" t="n">
        <v>5</v>
      </c>
      <c r="J198" s="2" t="s">
        <v>29</v>
      </c>
      <c r="K198" s="6" t="n">
        <v>0.4</v>
      </c>
      <c r="L198" s="4" t="n">
        <v>171</v>
      </c>
      <c r="M198" s="4" t="n">
        <v>724.58</v>
      </c>
      <c r="N198" s="6" t="n">
        <v>0.09</v>
      </c>
      <c r="O198" s="4" t="n">
        <v>65.21</v>
      </c>
      <c r="P198" s="6" t="n">
        <v>0.09</v>
      </c>
      <c r="Q198" s="4" t="n">
        <v>65.21</v>
      </c>
      <c r="R198" s="7" t="n">
        <f aca="false">M198+O198+P198</f>
        <v>789.88</v>
      </c>
      <c r="S198" s="7" t="n">
        <f aca="false">H198*I198</f>
        <v>1425</v>
      </c>
      <c r="T198" s="7" t="n">
        <f aca="false">IF(K198="","",ROUND(H198*(1-K198),2))</f>
        <v>171</v>
      </c>
      <c r="U198" s="7" t="n">
        <f aca="false">ROUND(L198*I198/1.18,2)</f>
        <v>724.58</v>
      </c>
      <c r="V198" s="7" t="n">
        <f aca="false">ROUND(M198-U198,2)</f>
        <v>0</v>
      </c>
      <c r="W198" s="8" t="str">
        <f aca="false">IF(ABS(V198)&gt;0.011,"CHECK","OK")</f>
        <v>OK</v>
      </c>
    </row>
    <row r="199" customFormat="false" ht="15" hidden="false" customHeight="false" outlineLevel="0" collapsed="false">
      <c r="A199" s="2" t="s">
        <v>285</v>
      </c>
      <c r="B199" s="2" t="s">
        <v>24</v>
      </c>
      <c r="C199" s="3" t="s">
        <v>438</v>
      </c>
      <c r="D199" s="2" t="n">
        <v>74</v>
      </c>
      <c r="E199" s="3" t="s">
        <v>448</v>
      </c>
      <c r="F199" s="3" t="s">
        <v>449</v>
      </c>
      <c r="G199" s="2" t="s">
        <v>441</v>
      </c>
      <c r="H199" s="4" t="n">
        <v>299</v>
      </c>
      <c r="I199" s="5" t="n">
        <v>5</v>
      </c>
      <c r="J199" s="2" t="s">
        <v>29</v>
      </c>
      <c r="K199" s="6" t="n">
        <v>0.4</v>
      </c>
      <c r="L199" s="4" t="n">
        <v>179.4</v>
      </c>
      <c r="M199" s="4" t="n">
        <v>760.17</v>
      </c>
      <c r="N199" s="6" t="n">
        <v>0.09</v>
      </c>
      <c r="O199" s="4" t="n">
        <v>68.41</v>
      </c>
      <c r="P199" s="6" t="n">
        <v>0.09</v>
      </c>
      <c r="Q199" s="4" t="n">
        <v>68.41</v>
      </c>
      <c r="R199" s="7" t="n">
        <f aca="false">M199+O199+P199</f>
        <v>828.67</v>
      </c>
      <c r="S199" s="7" t="n">
        <f aca="false">H199*I199</f>
        <v>1495</v>
      </c>
      <c r="T199" s="7" t="n">
        <f aca="false">IF(K199="","",ROUND(H199*(1-K199),2))</f>
        <v>179.4</v>
      </c>
      <c r="U199" s="7" t="n">
        <f aca="false">ROUND(L199*I199/1.18,2)</f>
        <v>760.17</v>
      </c>
      <c r="V199" s="7" t="n">
        <f aca="false">ROUND(M199-U199,2)</f>
        <v>0</v>
      </c>
      <c r="W199" s="8" t="str">
        <f aca="false">IF(ABS(V199)&gt;0.011,"CHECK","OK")</f>
        <v>OK</v>
      </c>
    </row>
    <row r="200" customFormat="false" ht="15" hidden="false" customHeight="false" outlineLevel="0" collapsed="false">
      <c r="A200" s="2" t="s">
        <v>285</v>
      </c>
      <c r="B200" s="2" t="s">
        <v>24</v>
      </c>
      <c r="C200" s="3" t="s">
        <v>438</v>
      </c>
      <c r="D200" s="2" t="n">
        <v>75</v>
      </c>
      <c r="E200" s="3" t="s">
        <v>450</v>
      </c>
      <c r="F200" s="3" t="s">
        <v>451</v>
      </c>
      <c r="G200" s="2" t="s">
        <v>441</v>
      </c>
      <c r="H200" s="4" t="n">
        <v>385</v>
      </c>
      <c r="I200" s="5" t="n">
        <v>5</v>
      </c>
      <c r="J200" s="2" t="s">
        <v>29</v>
      </c>
      <c r="K200" s="6" t="n">
        <v>0.4</v>
      </c>
      <c r="L200" s="4" t="n">
        <v>231</v>
      </c>
      <c r="M200" s="4" t="n">
        <v>978.81</v>
      </c>
      <c r="N200" s="6" t="n">
        <v>0.09</v>
      </c>
      <c r="O200" s="4" t="n">
        <v>88.09</v>
      </c>
      <c r="P200" s="6" t="n">
        <v>0.09</v>
      </c>
      <c r="Q200" s="4" t="n">
        <v>88.09</v>
      </c>
      <c r="R200" s="7" t="n">
        <f aca="false">M200+O200+P200</f>
        <v>1066.99</v>
      </c>
      <c r="S200" s="7" t="n">
        <f aca="false">H200*I200</f>
        <v>1925</v>
      </c>
      <c r="T200" s="7" t="n">
        <f aca="false">IF(K200="","",ROUND(H200*(1-K200),2))</f>
        <v>231</v>
      </c>
      <c r="U200" s="7" t="n">
        <f aca="false">ROUND(L200*I200/1.18,2)</f>
        <v>978.81</v>
      </c>
      <c r="V200" s="7" t="n">
        <f aca="false">ROUND(M200-U200,2)</f>
        <v>0</v>
      </c>
      <c r="W200" s="8" t="str">
        <f aca="false">IF(ABS(V200)&gt;0.011,"CHECK","OK")</f>
        <v>OK</v>
      </c>
    </row>
    <row r="201" customFormat="false" ht="15" hidden="false" customHeight="false" outlineLevel="0" collapsed="false">
      <c r="A201" s="2" t="s">
        <v>285</v>
      </c>
      <c r="B201" s="2" t="s">
        <v>24</v>
      </c>
      <c r="C201" s="3" t="s">
        <v>438</v>
      </c>
      <c r="D201" s="2" t="n">
        <v>76</v>
      </c>
      <c r="E201" s="3" t="s">
        <v>452</v>
      </c>
      <c r="F201" s="3" t="s">
        <v>453</v>
      </c>
      <c r="G201" s="2" t="s">
        <v>45</v>
      </c>
      <c r="H201" s="4" t="n">
        <v>687</v>
      </c>
      <c r="I201" s="5" t="n">
        <v>5</v>
      </c>
      <c r="J201" s="2" t="s">
        <v>29</v>
      </c>
      <c r="K201" s="6" t="n">
        <v>0.4</v>
      </c>
      <c r="L201" s="4" t="n">
        <v>412.2</v>
      </c>
      <c r="M201" s="4" t="n">
        <v>1746.61</v>
      </c>
      <c r="N201" s="6" t="n">
        <v>0.09</v>
      </c>
      <c r="O201" s="4" t="n">
        <v>157.19</v>
      </c>
      <c r="P201" s="6" t="n">
        <v>0.09</v>
      </c>
      <c r="Q201" s="4" t="n">
        <v>157.19</v>
      </c>
      <c r="R201" s="7" t="n">
        <f aca="false">M201+O201+P201</f>
        <v>1903.89</v>
      </c>
      <c r="S201" s="7" t="n">
        <f aca="false">H201*I201</f>
        <v>3435</v>
      </c>
      <c r="T201" s="7" t="n">
        <f aca="false">IF(K201="","",ROUND(H201*(1-K201),2))</f>
        <v>412.2</v>
      </c>
      <c r="U201" s="7" t="n">
        <f aca="false">ROUND(L201*I201/1.18,2)</f>
        <v>1746.61</v>
      </c>
      <c r="V201" s="7" t="n">
        <f aca="false">ROUND(M201-U201,2)</f>
        <v>0</v>
      </c>
      <c r="W201" s="8" t="str">
        <f aca="false">IF(ABS(V201)&gt;0.011,"CHECK","OK")</f>
        <v>OK</v>
      </c>
    </row>
    <row r="202" customFormat="false" ht="15" hidden="false" customHeight="false" outlineLevel="0" collapsed="false">
      <c r="A202" s="2" t="s">
        <v>285</v>
      </c>
      <c r="B202" s="2" t="s">
        <v>24</v>
      </c>
      <c r="C202" s="3" t="s">
        <v>438</v>
      </c>
      <c r="D202" s="2" t="n">
        <v>77</v>
      </c>
      <c r="E202" s="3" t="s">
        <v>454</v>
      </c>
      <c r="F202" s="3" t="s">
        <v>455</v>
      </c>
      <c r="G202" s="2" t="s">
        <v>39</v>
      </c>
      <c r="H202" s="4" t="n">
        <v>190</v>
      </c>
      <c r="I202" s="5" t="n">
        <v>20</v>
      </c>
      <c r="J202" s="2" t="s">
        <v>40</v>
      </c>
      <c r="K202" s="6" t="n">
        <v>0.4</v>
      </c>
      <c r="L202" s="4" t="n">
        <v>114</v>
      </c>
      <c r="M202" s="4" t="n">
        <v>1932.2</v>
      </c>
      <c r="N202" s="6" t="n">
        <v>0.09</v>
      </c>
      <c r="O202" s="4" t="n">
        <v>173.9</v>
      </c>
      <c r="P202" s="6" t="n">
        <v>0.09</v>
      </c>
      <c r="Q202" s="4" t="n">
        <v>173.9</v>
      </c>
      <c r="R202" s="7" t="n">
        <f aca="false">M202+O202+P202</f>
        <v>2106.19</v>
      </c>
      <c r="S202" s="7" t="n">
        <f aca="false">H202*I202</f>
        <v>3800</v>
      </c>
      <c r="T202" s="7" t="n">
        <f aca="false">IF(K202="","",ROUND(H202*(1-K202),2))</f>
        <v>114</v>
      </c>
      <c r="U202" s="7" t="n">
        <f aca="false">ROUND(L202*I202/1.18,2)</f>
        <v>1932.2</v>
      </c>
      <c r="V202" s="7" t="n">
        <f aca="false">ROUND(M202-U202,2)</f>
        <v>0</v>
      </c>
      <c r="W202" s="8" t="str">
        <f aca="false">IF(ABS(V202)&gt;0.011,"CHECK","OK")</f>
        <v>OK</v>
      </c>
    </row>
    <row r="203" customFormat="false" ht="15" hidden="false" customHeight="false" outlineLevel="0" collapsed="false">
      <c r="A203" s="2" t="s">
        <v>285</v>
      </c>
      <c r="B203" s="2" t="s">
        <v>24</v>
      </c>
      <c r="C203" s="3" t="s">
        <v>438</v>
      </c>
      <c r="D203" s="2" t="n">
        <v>78</v>
      </c>
      <c r="E203" s="3" t="s">
        <v>456</v>
      </c>
      <c r="F203" s="3" t="s">
        <v>457</v>
      </c>
      <c r="G203" s="2" t="s">
        <v>39</v>
      </c>
      <c r="H203" s="4" t="n">
        <v>190</v>
      </c>
      <c r="I203" s="5" t="n">
        <v>20</v>
      </c>
      <c r="J203" s="2" t="s">
        <v>40</v>
      </c>
      <c r="K203" s="6" t="n">
        <v>0.4</v>
      </c>
      <c r="L203" s="4" t="n">
        <v>114</v>
      </c>
      <c r="M203" s="4" t="n">
        <v>1932.2</v>
      </c>
      <c r="N203" s="6" t="n">
        <v>0.09</v>
      </c>
      <c r="O203" s="4" t="n">
        <v>173.9</v>
      </c>
      <c r="P203" s="6" t="n">
        <v>0.09</v>
      </c>
      <c r="Q203" s="4" t="n">
        <v>173.9</v>
      </c>
      <c r="R203" s="7" t="n">
        <f aca="false">M203+O203+P203</f>
        <v>2106.19</v>
      </c>
      <c r="S203" s="7" t="n">
        <f aca="false">H203*I203</f>
        <v>3800</v>
      </c>
      <c r="T203" s="7" t="n">
        <f aca="false">IF(K203="","",ROUND(H203*(1-K203),2))</f>
        <v>114</v>
      </c>
      <c r="U203" s="7" t="n">
        <f aca="false">ROUND(L203*I203/1.18,2)</f>
        <v>1932.2</v>
      </c>
      <c r="V203" s="7" t="n">
        <f aca="false">ROUND(M203-U203,2)</f>
        <v>0</v>
      </c>
      <c r="W203" s="8" t="str">
        <f aca="false">IF(ABS(V203)&gt;0.011,"CHECK","OK")</f>
        <v>OK</v>
      </c>
    </row>
    <row r="204" customFormat="false" ht="15" hidden="false" customHeight="false" outlineLevel="0" collapsed="false">
      <c r="A204" s="2" t="s">
        <v>285</v>
      </c>
      <c r="B204" s="2" t="s">
        <v>24</v>
      </c>
      <c r="C204" s="3" t="s">
        <v>438</v>
      </c>
      <c r="D204" s="2" t="n">
        <v>79</v>
      </c>
      <c r="E204" s="3" t="s">
        <v>458</v>
      </c>
      <c r="F204" s="3" t="s">
        <v>459</v>
      </c>
      <c r="G204" s="2" t="s">
        <v>39</v>
      </c>
      <c r="H204" s="4" t="n">
        <v>179</v>
      </c>
      <c r="I204" s="5" t="n">
        <v>20</v>
      </c>
      <c r="J204" s="2" t="s">
        <v>40</v>
      </c>
      <c r="K204" s="6" t="n">
        <v>0.4</v>
      </c>
      <c r="L204" s="4" t="n">
        <v>107.4</v>
      </c>
      <c r="M204" s="4" t="n">
        <v>1820.34</v>
      </c>
      <c r="N204" s="6" t="n">
        <v>0.09</v>
      </c>
      <c r="O204" s="4" t="n">
        <v>163.83</v>
      </c>
      <c r="P204" s="6" t="n">
        <v>0.09</v>
      </c>
      <c r="Q204" s="4" t="n">
        <v>163.83</v>
      </c>
      <c r="R204" s="7" t="n">
        <f aca="false">M204+O204+P204</f>
        <v>1984.26</v>
      </c>
      <c r="S204" s="7" t="n">
        <f aca="false">H204*I204</f>
        <v>3580</v>
      </c>
      <c r="T204" s="7" t="n">
        <f aca="false">IF(K204="","",ROUND(H204*(1-K204),2))</f>
        <v>107.4</v>
      </c>
      <c r="U204" s="7" t="n">
        <f aca="false">ROUND(L204*I204/1.18,2)</f>
        <v>1820.34</v>
      </c>
      <c r="V204" s="7" t="n">
        <f aca="false">ROUND(M204-U204,2)</f>
        <v>0</v>
      </c>
      <c r="W204" s="8" t="str">
        <f aca="false">IF(ABS(V204)&gt;0.011,"CHECK","OK")</f>
        <v>OK</v>
      </c>
    </row>
    <row r="205" customFormat="false" ht="15" hidden="false" customHeight="false" outlineLevel="0" collapsed="false">
      <c r="A205" s="2" t="s">
        <v>285</v>
      </c>
      <c r="B205" s="2" t="s">
        <v>24</v>
      </c>
      <c r="C205" s="3" t="s">
        <v>438</v>
      </c>
      <c r="D205" s="2" t="n">
        <v>80</v>
      </c>
      <c r="E205" s="3" t="s">
        <v>460</v>
      </c>
      <c r="F205" s="3" t="s">
        <v>461</v>
      </c>
      <c r="G205" s="2" t="s">
        <v>45</v>
      </c>
      <c r="H205" s="4" t="n">
        <v>138</v>
      </c>
      <c r="I205" s="5" t="n">
        <v>20</v>
      </c>
      <c r="J205" s="2" t="s">
        <v>40</v>
      </c>
      <c r="K205" s="6" t="n">
        <v>0.4</v>
      </c>
      <c r="L205" s="4" t="n">
        <v>82.8</v>
      </c>
      <c r="M205" s="4" t="n">
        <v>1403.39</v>
      </c>
      <c r="N205" s="6" t="n">
        <v>0.09</v>
      </c>
      <c r="O205" s="4" t="n">
        <v>126.3</v>
      </c>
      <c r="P205" s="6" t="n">
        <v>0.09</v>
      </c>
      <c r="Q205" s="4" t="n">
        <v>126.3</v>
      </c>
      <c r="R205" s="7" t="n">
        <f aca="false">M205+O205+P205</f>
        <v>1529.78</v>
      </c>
      <c r="S205" s="7" t="n">
        <f aca="false">H205*I205</f>
        <v>2760</v>
      </c>
      <c r="T205" s="7" t="n">
        <f aca="false">IF(K205="","",ROUND(H205*(1-K205),2))</f>
        <v>82.8</v>
      </c>
      <c r="U205" s="7" t="n">
        <f aca="false">ROUND(L205*I205/1.18,2)</f>
        <v>1403.39</v>
      </c>
      <c r="V205" s="7" t="n">
        <f aca="false">ROUND(M205-U205,2)</f>
        <v>0</v>
      </c>
      <c r="W205" s="8" t="str">
        <f aca="false">IF(ABS(V205)&gt;0.011,"CHECK","OK")</f>
        <v>OK</v>
      </c>
    </row>
    <row r="206" customFormat="false" ht="15" hidden="false" customHeight="false" outlineLevel="0" collapsed="false">
      <c r="A206" s="2" t="s">
        <v>285</v>
      </c>
      <c r="B206" s="2" t="s">
        <v>24</v>
      </c>
      <c r="C206" s="3" t="s">
        <v>438</v>
      </c>
      <c r="D206" s="2" t="n">
        <v>81</v>
      </c>
      <c r="E206" s="3" t="s">
        <v>462</v>
      </c>
      <c r="F206" s="3" t="s">
        <v>463</v>
      </c>
      <c r="G206" s="2" t="s">
        <v>45</v>
      </c>
      <c r="H206" s="4" t="n">
        <v>179</v>
      </c>
      <c r="I206" s="5" t="n">
        <v>20</v>
      </c>
      <c r="J206" s="2" t="s">
        <v>29</v>
      </c>
      <c r="K206" s="6" t="n">
        <v>0.4</v>
      </c>
      <c r="L206" s="4" t="n">
        <v>107.4</v>
      </c>
      <c r="M206" s="4" t="n">
        <v>1820.34</v>
      </c>
      <c r="N206" s="6" t="n">
        <v>0.09</v>
      </c>
      <c r="O206" s="4" t="n">
        <v>163.83</v>
      </c>
      <c r="P206" s="6" t="n">
        <v>0.09</v>
      </c>
      <c r="Q206" s="4" t="n">
        <v>163.83</v>
      </c>
      <c r="R206" s="7" t="n">
        <f aca="false">M206+O206+P206</f>
        <v>1984.26</v>
      </c>
      <c r="S206" s="7" t="n">
        <f aca="false">H206*I206</f>
        <v>3580</v>
      </c>
      <c r="T206" s="7" t="n">
        <f aca="false">IF(K206="","",ROUND(H206*(1-K206),2))</f>
        <v>107.4</v>
      </c>
      <c r="U206" s="7" t="n">
        <f aca="false">ROUND(L206*I206/1.18,2)</f>
        <v>1820.34</v>
      </c>
      <c r="V206" s="7" t="n">
        <f aca="false">ROUND(M206-U206,2)</f>
        <v>0</v>
      </c>
      <c r="W206" s="8" t="str">
        <f aca="false">IF(ABS(V206)&gt;0.011,"CHECK","OK")</f>
        <v>OK</v>
      </c>
    </row>
    <row r="207" customFormat="false" ht="15" hidden="false" customHeight="false" outlineLevel="0" collapsed="false">
      <c r="A207" s="2" t="s">
        <v>285</v>
      </c>
      <c r="B207" s="2" t="s">
        <v>24</v>
      </c>
      <c r="C207" s="3" t="s">
        <v>438</v>
      </c>
      <c r="D207" s="2" t="n">
        <v>82</v>
      </c>
      <c r="E207" s="3" t="s">
        <v>464</v>
      </c>
      <c r="F207" s="3" t="s">
        <v>465</v>
      </c>
      <c r="G207" s="2" t="s">
        <v>39</v>
      </c>
      <c r="H207" s="4" t="n">
        <v>200</v>
      </c>
      <c r="I207" s="5" t="n">
        <v>20</v>
      </c>
      <c r="J207" s="2" t="s">
        <v>40</v>
      </c>
      <c r="K207" s="6" t="n">
        <v>0.4</v>
      </c>
      <c r="L207" s="4" t="n">
        <v>120</v>
      </c>
      <c r="M207" s="4" t="n">
        <v>2033.9</v>
      </c>
      <c r="N207" s="6" t="n">
        <v>0.09</v>
      </c>
      <c r="O207" s="4" t="n">
        <v>183.05</v>
      </c>
      <c r="P207" s="6" t="n">
        <v>0.09</v>
      </c>
      <c r="Q207" s="4" t="n">
        <v>183.05</v>
      </c>
      <c r="R207" s="7" t="n">
        <f aca="false">M207+O207+P207</f>
        <v>2217.04</v>
      </c>
      <c r="S207" s="7" t="n">
        <f aca="false">H207*I207</f>
        <v>4000</v>
      </c>
      <c r="T207" s="7" t="n">
        <f aca="false">IF(K207="","",ROUND(H207*(1-K207),2))</f>
        <v>120</v>
      </c>
      <c r="U207" s="7" t="n">
        <f aca="false">ROUND(L207*I207/1.18,2)</f>
        <v>2033.9</v>
      </c>
      <c r="V207" s="7" t="n">
        <f aca="false">ROUND(M207-U207,2)</f>
        <v>0</v>
      </c>
      <c r="W207" s="8" t="str">
        <f aca="false">IF(ABS(V207)&gt;0.011,"CHECK","OK")</f>
        <v>OK</v>
      </c>
    </row>
    <row r="208" customFormat="false" ht="15" hidden="false" customHeight="false" outlineLevel="0" collapsed="false">
      <c r="A208" s="2" t="s">
        <v>285</v>
      </c>
      <c r="B208" s="2" t="s">
        <v>24</v>
      </c>
      <c r="C208" s="3" t="s">
        <v>438</v>
      </c>
      <c r="D208" s="2" t="n">
        <v>83</v>
      </c>
      <c r="E208" s="3" t="s">
        <v>466</v>
      </c>
      <c r="F208" s="3" t="s">
        <v>467</v>
      </c>
      <c r="G208" s="2" t="s">
        <v>45</v>
      </c>
      <c r="H208" s="4" t="n">
        <v>46</v>
      </c>
      <c r="I208" s="5" t="n">
        <v>25</v>
      </c>
      <c r="J208" s="2" t="s">
        <v>40</v>
      </c>
      <c r="K208" s="6" t="n">
        <v>0.4</v>
      </c>
      <c r="L208" s="4" t="n">
        <v>27.6</v>
      </c>
      <c r="M208" s="4" t="n">
        <v>584.75</v>
      </c>
      <c r="N208" s="6" t="n">
        <v>0.09</v>
      </c>
      <c r="O208" s="4" t="n">
        <v>52.62</v>
      </c>
      <c r="P208" s="6" t="n">
        <v>0.09</v>
      </c>
      <c r="Q208" s="4" t="n">
        <v>52.62</v>
      </c>
      <c r="R208" s="7" t="n">
        <f aca="false">M208+O208+P208</f>
        <v>637.46</v>
      </c>
      <c r="S208" s="7" t="n">
        <f aca="false">H208*I208</f>
        <v>1150</v>
      </c>
      <c r="T208" s="7" t="n">
        <f aca="false">IF(K208="","",ROUND(H208*(1-K208),2))</f>
        <v>27.6</v>
      </c>
      <c r="U208" s="7" t="n">
        <f aca="false">ROUND(L208*I208/1.18,2)</f>
        <v>584.75</v>
      </c>
      <c r="V208" s="7" t="n">
        <f aca="false">ROUND(M208-U208,2)</f>
        <v>0</v>
      </c>
      <c r="W208" s="8" t="str">
        <f aca="false">IF(ABS(V208)&gt;0.011,"CHECK","OK")</f>
        <v>OK</v>
      </c>
    </row>
    <row r="209" customFormat="false" ht="15" hidden="false" customHeight="false" outlineLevel="0" collapsed="false">
      <c r="A209" s="2" t="s">
        <v>285</v>
      </c>
      <c r="B209" s="2" t="s">
        <v>24</v>
      </c>
      <c r="C209" s="3" t="s">
        <v>468</v>
      </c>
      <c r="D209" s="2" t="n">
        <v>84</v>
      </c>
      <c r="E209" s="3" t="s">
        <v>469</v>
      </c>
      <c r="F209" s="3" t="s">
        <v>470</v>
      </c>
      <c r="G209" s="2" t="s">
        <v>471</v>
      </c>
      <c r="H209" s="4" t="n">
        <v>65</v>
      </c>
      <c r="I209" s="5" t="n">
        <v>10</v>
      </c>
      <c r="J209" s="2" t="s">
        <v>40</v>
      </c>
      <c r="K209" s="6" t="n">
        <v>0.38</v>
      </c>
      <c r="L209" s="4" t="n">
        <v>40.3</v>
      </c>
      <c r="M209" s="4" t="n">
        <v>341.53</v>
      </c>
      <c r="N209" s="6" t="n">
        <v>0.09</v>
      </c>
      <c r="O209" s="4" t="n">
        <v>30.73</v>
      </c>
      <c r="P209" s="6" t="n">
        <v>0.09</v>
      </c>
      <c r="Q209" s="4" t="n">
        <v>30.73</v>
      </c>
      <c r="R209" s="7" t="n">
        <f aca="false">M209+O209+P209</f>
        <v>372.35</v>
      </c>
      <c r="S209" s="7" t="n">
        <f aca="false">H209*I209</f>
        <v>650</v>
      </c>
      <c r="T209" s="7" t="n">
        <f aca="false">IF(K209="","",ROUND(H209*(1-K209),2))</f>
        <v>40.3</v>
      </c>
      <c r="U209" s="7" t="n">
        <f aca="false">ROUND(L209*I209/1.18,2)</f>
        <v>341.53</v>
      </c>
      <c r="V209" s="7" t="n">
        <f aca="false">ROUND(M209-U209,2)</f>
        <v>0</v>
      </c>
      <c r="W209" s="8" t="str">
        <f aca="false">IF(ABS(V209)&gt;0.011,"CHECK","OK")</f>
        <v>OK</v>
      </c>
    </row>
    <row r="210" customFormat="false" ht="15" hidden="false" customHeight="false" outlineLevel="0" collapsed="false">
      <c r="A210" s="2" t="s">
        <v>285</v>
      </c>
      <c r="B210" s="2" t="s">
        <v>24</v>
      </c>
      <c r="C210" s="3" t="s">
        <v>468</v>
      </c>
      <c r="D210" s="2" t="n">
        <v>85</v>
      </c>
      <c r="E210" s="3" t="s">
        <v>472</v>
      </c>
      <c r="F210" s="3" t="s">
        <v>473</v>
      </c>
      <c r="G210" s="2" t="s">
        <v>471</v>
      </c>
      <c r="H210" s="4" t="n">
        <v>97</v>
      </c>
      <c r="I210" s="5" t="n">
        <v>10</v>
      </c>
      <c r="J210" s="2" t="s">
        <v>40</v>
      </c>
      <c r="K210" s="6" t="n">
        <v>0.38</v>
      </c>
      <c r="L210" s="4" t="n">
        <v>60.14</v>
      </c>
      <c r="M210" s="4" t="n">
        <v>509.66</v>
      </c>
      <c r="N210" s="6" t="n">
        <v>0.09</v>
      </c>
      <c r="O210" s="4" t="n">
        <v>45.87</v>
      </c>
      <c r="P210" s="6" t="n">
        <v>0.09</v>
      </c>
      <c r="Q210" s="4" t="n">
        <v>45.87</v>
      </c>
      <c r="R210" s="7" t="n">
        <f aca="false">M210+O210+P210</f>
        <v>555.62</v>
      </c>
      <c r="S210" s="7" t="n">
        <f aca="false">H210*I210</f>
        <v>970</v>
      </c>
      <c r="T210" s="7" t="n">
        <f aca="false">IF(K210="","",ROUND(H210*(1-K210),2))</f>
        <v>60.14</v>
      </c>
      <c r="U210" s="7" t="n">
        <f aca="false">ROUND(L210*I210/1.18,2)</f>
        <v>509.66</v>
      </c>
      <c r="V210" s="7" t="n">
        <f aca="false">ROUND(M210-U210,2)</f>
        <v>0</v>
      </c>
      <c r="W210" s="8" t="str">
        <f aca="false">IF(ABS(V210)&gt;0.011,"CHECK","OK")</f>
        <v>OK</v>
      </c>
    </row>
    <row r="211" customFormat="false" ht="15" hidden="false" customHeight="false" outlineLevel="0" collapsed="false">
      <c r="A211" s="2" t="s">
        <v>285</v>
      </c>
      <c r="B211" s="2" t="s">
        <v>24</v>
      </c>
      <c r="C211" s="3" t="s">
        <v>468</v>
      </c>
      <c r="D211" s="2" t="n">
        <v>86</v>
      </c>
      <c r="E211" s="3" t="s">
        <v>474</v>
      </c>
      <c r="F211" s="3" t="s">
        <v>475</v>
      </c>
      <c r="G211" s="2" t="s">
        <v>441</v>
      </c>
      <c r="H211" s="4" t="n">
        <v>70</v>
      </c>
      <c r="I211" s="5" t="n">
        <v>5</v>
      </c>
      <c r="J211" s="2" t="s">
        <v>40</v>
      </c>
      <c r="K211" s="6" t="n">
        <v>0.38</v>
      </c>
      <c r="L211" s="4" t="n">
        <v>43.4</v>
      </c>
      <c r="M211" s="4" t="n">
        <v>183.9</v>
      </c>
      <c r="N211" s="6" t="n">
        <v>0.09</v>
      </c>
      <c r="O211" s="4" t="n">
        <v>16.55</v>
      </c>
      <c r="P211" s="6" t="n">
        <v>0.09</v>
      </c>
      <c r="Q211" s="4" t="n">
        <v>16.55</v>
      </c>
      <c r="R211" s="7" t="n">
        <f aca="false">M211+O211+P211</f>
        <v>200.54</v>
      </c>
      <c r="S211" s="7" t="n">
        <f aca="false">H211*I211</f>
        <v>350</v>
      </c>
      <c r="T211" s="7" t="n">
        <f aca="false">IF(K211="","",ROUND(H211*(1-K211),2))</f>
        <v>43.4</v>
      </c>
      <c r="U211" s="7" t="n">
        <f aca="false">ROUND(L211*I211/1.18,2)</f>
        <v>183.9</v>
      </c>
      <c r="V211" s="7" t="n">
        <f aca="false">ROUND(M211-U211,2)</f>
        <v>0</v>
      </c>
      <c r="W211" s="8" t="str">
        <f aca="false">IF(ABS(V211)&gt;0.011,"CHECK","OK")</f>
        <v>OK</v>
      </c>
    </row>
    <row r="212" customFormat="false" ht="15" hidden="false" customHeight="false" outlineLevel="0" collapsed="false">
      <c r="A212" s="2" t="s">
        <v>285</v>
      </c>
      <c r="B212" s="2" t="s">
        <v>24</v>
      </c>
      <c r="C212" s="3" t="s">
        <v>468</v>
      </c>
      <c r="D212" s="2" t="n">
        <v>87</v>
      </c>
      <c r="E212" s="3" t="s">
        <v>476</v>
      </c>
      <c r="F212" s="3" t="s">
        <v>477</v>
      </c>
      <c r="G212" s="2" t="s">
        <v>471</v>
      </c>
      <c r="H212" s="4" t="n">
        <v>105</v>
      </c>
      <c r="I212" s="5" t="n">
        <v>5</v>
      </c>
      <c r="J212" s="2" t="s">
        <v>40</v>
      </c>
      <c r="K212" s="6" t="n">
        <v>0.38</v>
      </c>
      <c r="L212" s="4" t="n">
        <v>65.1</v>
      </c>
      <c r="M212" s="4" t="n">
        <v>275.85</v>
      </c>
      <c r="N212" s="6" t="n">
        <v>0.09</v>
      </c>
      <c r="O212" s="4" t="n">
        <v>24.82</v>
      </c>
      <c r="P212" s="6" t="n">
        <v>0.09</v>
      </c>
      <c r="Q212" s="4" t="n">
        <v>24.82</v>
      </c>
      <c r="R212" s="7" t="n">
        <f aca="false">M212+O212+P212</f>
        <v>300.76</v>
      </c>
      <c r="S212" s="7" t="n">
        <f aca="false">H212*I212</f>
        <v>525</v>
      </c>
      <c r="T212" s="7" t="n">
        <f aca="false">IF(K212="","",ROUND(H212*(1-K212),2))</f>
        <v>65.1</v>
      </c>
      <c r="U212" s="7" t="n">
        <f aca="false">ROUND(L212*I212/1.18,2)</f>
        <v>275.85</v>
      </c>
      <c r="V212" s="7" t="n">
        <f aca="false">ROUND(M212-U212,2)</f>
        <v>0</v>
      </c>
      <c r="W212" s="8" t="str">
        <f aca="false">IF(ABS(V212)&gt;0.011,"CHECK","OK")</f>
        <v>OK</v>
      </c>
    </row>
    <row r="213" customFormat="false" ht="15" hidden="false" customHeight="false" outlineLevel="0" collapsed="false">
      <c r="A213" s="2" t="s">
        <v>285</v>
      </c>
      <c r="B213" s="2" t="s">
        <v>24</v>
      </c>
      <c r="C213" s="3" t="s">
        <v>468</v>
      </c>
      <c r="D213" s="2" t="n">
        <v>88</v>
      </c>
      <c r="E213" s="3" t="s">
        <v>478</v>
      </c>
      <c r="F213" s="3" t="s">
        <v>479</v>
      </c>
      <c r="G213" s="2" t="s">
        <v>441</v>
      </c>
      <c r="H213" s="4" t="n">
        <v>84</v>
      </c>
      <c r="I213" s="5" t="n">
        <v>5</v>
      </c>
      <c r="J213" s="2" t="s">
        <v>40</v>
      </c>
      <c r="K213" s="6" t="n">
        <v>0.38</v>
      </c>
      <c r="L213" s="4" t="n">
        <v>52.08</v>
      </c>
      <c r="M213" s="4" t="n">
        <v>220.68</v>
      </c>
      <c r="N213" s="6" t="n">
        <v>0.09</v>
      </c>
      <c r="O213" s="4" t="n">
        <v>19.86</v>
      </c>
      <c r="P213" s="6" t="n">
        <v>0.09</v>
      </c>
      <c r="Q213" s="4" t="n">
        <v>19.86</v>
      </c>
      <c r="R213" s="7" t="n">
        <f aca="false">M213+O213+P213</f>
        <v>240.63</v>
      </c>
      <c r="S213" s="7" t="n">
        <f aca="false">H213*I213</f>
        <v>420</v>
      </c>
      <c r="T213" s="7" t="n">
        <f aca="false">IF(K213="","",ROUND(H213*(1-K213),2))</f>
        <v>52.08</v>
      </c>
      <c r="U213" s="7" t="n">
        <f aca="false">ROUND(L213*I213/1.18,2)</f>
        <v>220.68</v>
      </c>
      <c r="V213" s="7" t="n">
        <f aca="false">ROUND(M213-U213,2)</f>
        <v>0</v>
      </c>
      <c r="W213" s="8" t="str">
        <f aca="false">IF(ABS(V213)&gt;0.011,"CHECK","OK")</f>
        <v>OK</v>
      </c>
    </row>
    <row r="214" customFormat="false" ht="15" hidden="false" customHeight="false" outlineLevel="0" collapsed="false">
      <c r="A214" s="2" t="s">
        <v>285</v>
      </c>
      <c r="B214" s="2" t="s">
        <v>24</v>
      </c>
      <c r="C214" s="3" t="s">
        <v>468</v>
      </c>
      <c r="D214" s="2" t="n">
        <v>89</v>
      </c>
      <c r="E214" s="3" t="s">
        <v>480</v>
      </c>
      <c r="F214" s="3" t="s">
        <v>481</v>
      </c>
      <c r="G214" s="2" t="s">
        <v>441</v>
      </c>
      <c r="H214" s="4" t="n">
        <v>95</v>
      </c>
      <c r="I214" s="5" t="n">
        <v>5</v>
      </c>
      <c r="J214" s="2" t="s">
        <v>40</v>
      </c>
      <c r="K214" s="6" t="n">
        <v>0.38</v>
      </c>
      <c r="L214" s="4" t="n">
        <v>58.9</v>
      </c>
      <c r="M214" s="4" t="n">
        <v>249.58</v>
      </c>
      <c r="N214" s="6" t="n">
        <v>0.09</v>
      </c>
      <c r="O214" s="4" t="n">
        <v>22.46</v>
      </c>
      <c r="P214" s="6" t="n">
        <v>0.09</v>
      </c>
      <c r="Q214" s="4" t="n">
        <v>22.46</v>
      </c>
      <c r="R214" s="7" t="n">
        <f aca="false">M214+O214+P214</f>
        <v>272.13</v>
      </c>
      <c r="S214" s="7" t="n">
        <f aca="false">H214*I214</f>
        <v>475</v>
      </c>
      <c r="T214" s="7" t="n">
        <f aca="false">IF(K214="","",ROUND(H214*(1-K214),2))</f>
        <v>58.9</v>
      </c>
      <c r="U214" s="7" t="n">
        <f aca="false">ROUND(L214*I214/1.18,2)</f>
        <v>249.58</v>
      </c>
      <c r="V214" s="7" t="n">
        <f aca="false">ROUND(M214-U214,2)</f>
        <v>0</v>
      </c>
      <c r="W214" s="8" t="str">
        <f aca="false">IF(ABS(V214)&gt;0.011,"CHECK","OK")</f>
        <v>OK</v>
      </c>
    </row>
    <row r="215" customFormat="false" ht="15" hidden="false" customHeight="false" outlineLevel="0" collapsed="false">
      <c r="A215" s="2" t="s">
        <v>285</v>
      </c>
      <c r="B215" s="2" t="s">
        <v>24</v>
      </c>
      <c r="C215" s="3" t="s">
        <v>468</v>
      </c>
      <c r="D215" s="2" t="n">
        <v>90</v>
      </c>
      <c r="E215" s="3" t="s">
        <v>482</v>
      </c>
      <c r="F215" s="3" t="s">
        <v>483</v>
      </c>
      <c r="G215" s="2" t="s">
        <v>471</v>
      </c>
      <c r="H215" s="4" t="n">
        <v>125</v>
      </c>
      <c r="I215" s="5" t="n">
        <v>5</v>
      </c>
      <c r="J215" s="2" t="s">
        <v>29</v>
      </c>
      <c r="K215" s="6" t="n">
        <v>0.38</v>
      </c>
      <c r="L215" s="4" t="n">
        <v>77.5</v>
      </c>
      <c r="M215" s="4" t="n">
        <v>328.39</v>
      </c>
      <c r="N215" s="6" t="n">
        <v>0.09</v>
      </c>
      <c r="O215" s="4" t="n">
        <v>29.55</v>
      </c>
      <c r="P215" s="6" t="n">
        <v>0.09</v>
      </c>
      <c r="Q215" s="4" t="n">
        <v>29.55</v>
      </c>
      <c r="R215" s="7" t="n">
        <f aca="false">M215+O215+P215</f>
        <v>358.03</v>
      </c>
      <c r="S215" s="7" t="n">
        <f aca="false">H215*I215</f>
        <v>625</v>
      </c>
      <c r="T215" s="7" t="n">
        <f aca="false">IF(K215="","",ROUND(H215*(1-K215),2))</f>
        <v>77.5</v>
      </c>
      <c r="U215" s="7" t="n">
        <f aca="false">ROUND(L215*I215/1.18,2)</f>
        <v>328.39</v>
      </c>
      <c r="V215" s="7" t="n">
        <f aca="false">ROUND(M215-U215,2)</f>
        <v>0</v>
      </c>
      <c r="W215" s="8" t="str">
        <f aca="false">IF(ABS(V215)&gt;0.011,"CHECK","OK")</f>
        <v>OK</v>
      </c>
    </row>
    <row r="216" customFormat="false" ht="15" hidden="false" customHeight="false" outlineLevel="0" collapsed="false">
      <c r="A216" s="2" t="s">
        <v>285</v>
      </c>
      <c r="B216" s="2" t="s">
        <v>24</v>
      </c>
      <c r="C216" s="3" t="s">
        <v>468</v>
      </c>
      <c r="D216" s="2" t="n">
        <v>91</v>
      </c>
      <c r="E216" s="3" t="s">
        <v>484</v>
      </c>
      <c r="F216" s="3" t="s">
        <v>485</v>
      </c>
      <c r="G216" s="2" t="s">
        <v>441</v>
      </c>
      <c r="H216" s="4" t="n">
        <v>76</v>
      </c>
      <c r="I216" s="5" t="n">
        <v>4</v>
      </c>
      <c r="J216" s="2" t="s">
        <v>40</v>
      </c>
      <c r="K216" s="6" t="n">
        <v>0.38</v>
      </c>
      <c r="L216" s="4" t="n">
        <v>47.12</v>
      </c>
      <c r="M216" s="4" t="n">
        <v>159.73</v>
      </c>
      <c r="N216" s="6" t="n">
        <v>0.09</v>
      </c>
      <c r="O216" s="4" t="n">
        <v>14.37</v>
      </c>
      <c r="P216" s="6" t="n">
        <v>0.09</v>
      </c>
      <c r="Q216" s="4" t="n">
        <v>14.37</v>
      </c>
      <c r="R216" s="7" t="n">
        <f aca="false">M216+O216+P216</f>
        <v>174.19</v>
      </c>
      <c r="S216" s="7" t="n">
        <f aca="false">H216*I216</f>
        <v>304</v>
      </c>
      <c r="T216" s="7" t="n">
        <f aca="false">IF(K216="","",ROUND(H216*(1-K216),2))</f>
        <v>47.12</v>
      </c>
      <c r="U216" s="7" t="n">
        <f aca="false">ROUND(L216*I216/1.18,2)</f>
        <v>159.73</v>
      </c>
      <c r="V216" s="7" t="n">
        <f aca="false">ROUND(M216-U216,2)</f>
        <v>0</v>
      </c>
      <c r="W216" s="8" t="str">
        <f aca="false">IF(ABS(V216)&gt;0.011,"CHECK","OK")</f>
        <v>OK</v>
      </c>
    </row>
    <row r="217" customFormat="false" ht="15" hidden="false" customHeight="false" outlineLevel="0" collapsed="false">
      <c r="A217" s="2" t="s">
        <v>285</v>
      </c>
      <c r="B217" s="2" t="s">
        <v>24</v>
      </c>
      <c r="C217" s="3" t="s">
        <v>468</v>
      </c>
      <c r="D217" s="2" t="n">
        <v>92</v>
      </c>
      <c r="E217" s="3" t="s">
        <v>486</v>
      </c>
      <c r="F217" s="3" t="s">
        <v>487</v>
      </c>
      <c r="G217" s="2" t="s">
        <v>471</v>
      </c>
      <c r="H217" s="4" t="n">
        <v>108</v>
      </c>
      <c r="I217" s="5" t="n">
        <v>5</v>
      </c>
      <c r="J217" s="2" t="s">
        <v>40</v>
      </c>
      <c r="K217" s="6" t="n">
        <v>0.38</v>
      </c>
      <c r="L217" s="4" t="n">
        <v>66.96</v>
      </c>
      <c r="M217" s="4" t="n">
        <v>283.73</v>
      </c>
      <c r="N217" s="6" t="n">
        <v>0.09</v>
      </c>
      <c r="O217" s="4" t="n">
        <v>25.53</v>
      </c>
      <c r="P217" s="6" t="n">
        <v>0.09</v>
      </c>
      <c r="Q217" s="4" t="n">
        <v>25.53</v>
      </c>
      <c r="R217" s="7" t="n">
        <f aca="false">M217+O217+P217</f>
        <v>309.35</v>
      </c>
      <c r="S217" s="7" t="n">
        <f aca="false">H217*I217</f>
        <v>540</v>
      </c>
      <c r="T217" s="7" t="n">
        <f aca="false">IF(K217="","",ROUND(H217*(1-K217),2))</f>
        <v>66.96</v>
      </c>
      <c r="U217" s="7" t="n">
        <f aca="false">ROUND(L217*I217/1.18,2)</f>
        <v>283.73</v>
      </c>
      <c r="V217" s="7" t="n">
        <f aca="false">ROUND(M217-U217,2)</f>
        <v>0</v>
      </c>
      <c r="W217" s="8" t="str">
        <f aca="false">IF(ABS(V217)&gt;0.011,"CHECK","OK")</f>
        <v>OK</v>
      </c>
    </row>
    <row r="218" customFormat="false" ht="15" hidden="false" customHeight="false" outlineLevel="0" collapsed="false">
      <c r="A218" s="2" t="s">
        <v>285</v>
      </c>
      <c r="B218" s="2" t="s">
        <v>24</v>
      </c>
      <c r="C218" s="3" t="s">
        <v>488</v>
      </c>
      <c r="D218" s="2" t="n">
        <v>93</v>
      </c>
      <c r="E218" s="3" t="s">
        <v>489</v>
      </c>
      <c r="F218" s="3" t="s">
        <v>490</v>
      </c>
      <c r="G218" s="2" t="s">
        <v>39</v>
      </c>
      <c r="H218" s="4" t="n">
        <v>226</v>
      </c>
      <c r="I218" s="5" t="n">
        <v>5</v>
      </c>
      <c r="J218" s="2" t="s">
        <v>40</v>
      </c>
      <c r="K218" s="6" t="n">
        <v>0.45</v>
      </c>
      <c r="L218" s="4" t="n">
        <v>124.3</v>
      </c>
      <c r="M218" s="4" t="n">
        <v>526.69</v>
      </c>
      <c r="N218" s="6" t="n">
        <v>0.09</v>
      </c>
      <c r="O218" s="4" t="n">
        <v>47.4</v>
      </c>
      <c r="P218" s="6" t="n">
        <v>0.09</v>
      </c>
      <c r="Q218" s="4" t="n">
        <v>47.4</v>
      </c>
      <c r="R218" s="7" t="n">
        <f aca="false">M218+O218+P218</f>
        <v>574.18</v>
      </c>
      <c r="S218" s="7" t="n">
        <f aca="false">H218*I218</f>
        <v>1130</v>
      </c>
      <c r="T218" s="7" t="n">
        <f aca="false">IF(K218="","",ROUND(H218*(1-K218),2))</f>
        <v>124.3</v>
      </c>
      <c r="U218" s="7" t="n">
        <f aca="false">ROUND(L218*I218/1.18,2)</f>
        <v>526.69</v>
      </c>
      <c r="V218" s="7" t="n">
        <f aca="false">ROUND(M218-U218,2)</f>
        <v>0</v>
      </c>
      <c r="W218" s="8" t="str">
        <f aca="false">IF(ABS(V218)&gt;0.011,"CHECK","OK")</f>
        <v>OK</v>
      </c>
    </row>
    <row r="219" customFormat="false" ht="15" hidden="false" customHeight="false" outlineLevel="0" collapsed="false">
      <c r="A219" s="2" t="s">
        <v>285</v>
      </c>
      <c r="B219" s="2" t="s">
        <v>24</v>
      </c>
      <c r="C219" s="3" t="s">
        <v>488</v>
      </c>
      <c r="D219" s="2" t="n">
        <v>94</v>
      </c>
      <c r="E219" s="3" t="s">
        <v>491</v>
      </c>
      <c r="F219" s="3" t="s">
        <v>492</v>
      </c>
      <c r="G219" s="2" t="s">
        <v>45</v>
      </c>
      <c r="H219" s="4" t="n">
        <v>337</v>
      </c>
      <c r="I219" s="5" t="n">
        <v>1</v>
      </c>
      <c r="J219" s="2" t="s">
        <v>40</v>
      </c>
      <c r="K219" s="6" t="n">
        <v>0.45</v>
      </c>
      <c r="L219" s="4" t="n">
        <v>185.35</v>
      </c>
      <c r="M219" s="4" t="n">
        <v>157.08</v>
      </c>
      <c r="N219" s="6" t="n">
        <v>0.09</v>
      </c>
      <c r="O219" s="4" t="n">
        <v>14.13</v>
      </c>
      <c r="P219" s="6" t="n">
        <v>0.09</v>
      </c>
      <c r="Q219" s="4" t="n">
        <v>14.13</v>
      </c>
      <c r="R219" s="7" t="n">
        <f aca="false">M219+O219+P219</f>
        <v>171.3</v>
      </c>
      <c r="S219" s="7" t="n">
        <f aca="false">H219*I219</f>
        <v>337</v>
      </c>
      <c r="T219" s="7" t="n">
        <f aca="false">IF(K219="","",ROUND(H219*(1-K219),2))</f>
        <v>185.35</v>
      </c>
      <c r="U219" s="7" t="n">
        <f aca="false">ROUND(L219*I219/1.18,2)</f>
        <v>157.08</v>
      </c>
      <c r="V219" s="7" t="n">
        <f aca="false">ROUND(M219-U219,2)</f>
        <v>0</v>
      </c>
      <c r="W219" s="8" t="str">
        <f aca="false">IF(ABS(V219)&gt;0.011,"CHECK","OK")</f>
        <v>OK</v>
      </c>
    </row>
    <row r="220" customFormat="false" ht="15" hidden="false" customHeight="false" outlineLevel="0" collapsed="false">
      <c r="A220" s="2" t="s">
        <v>285</v>
      </c>
      <c r="B220" s="2" t="s">
        <v>24</v>
      </c>
      <c r="C220" s="3" t="s">
        <v>488</v>
      </c>
      <c r="D220" s="2" t="n">
        <v>95</v>
      </c>
      <c r="E220" s="3" t="s">
        <v>493</v>
      </c>
      <c r="F220" s="3" t="s">
        <v>494</v>
      </c>
      <c r="G220" s="2" t="s">
        <v>45</v>
      </c>
      <c r="H220" s="4" t="n">
        <v>309</v>
      </c>
      <c r="I220" s="5" t="n">
        <v>2</v>
      </c>
      <c r="J220" s="2" t="s">
        <v>40</v>
      </c>
      <c r="K220" s="6" t="n">
        <v>0.45</v>
      </c>
      <c r="L220" s="4" t="n">
        <v>169.95</v>
      </c>
      <c r="M220" s="4" t="n">
        <v>288.05</v>
      </c>
      <c r="N220" s="6" t="n">
        <v>0.09</v>
      </c>
      <c r="O220" s="4" t="n">
        <v>25.92</v>
      </c>
      <c r="P220" s="6" t="n">
        <v>0.09</v>
      </c>
      <c r="Q220" s="4" t="n">
        <v>25.92</v>
      </c>
      <c r="R220" s="7" t="n">
        <f aca="false">M220+O220+P220</f>
        <v>314.06</v>
      </c>
      <c r="S220" s="7" t="n">
        <f aca="false">H220*I220</f>
        <v>618</v>
      </c>
      <c r="T220" s="7" t="n">
        <f aca="false">IF(K220="","",ROUND(H220*(1-K220),2))</f>
        <v>169.95</v>
      </c>
      <c r="U220" s="7" t="n">
        <f aca="false">ROUND(L220*I220/1.18,2)</f>
        <v>288.05</v>
      </c>
      <c r="V220" s="7" t="n">
        <f aca="false">ROUND(M220-U220,2)</f>
        <v>0</v>
      </c>
      <c r="W220" s="8" t="str">
        <f aca="false">IF(ABS(V220)&gt;0.011,"CHECK","OK")</f>
        <v>OK</v>
      </c>
    </row>
    <row r="221" customFormat="false" ht="15" hidden="false" customHeight="false" outlineLevel="0" collapsed="false">
      <c r="A221" s="2" t="s">
        <v>285</v>
      </c>
      <c r="B221" s="2" t="s">
        <v>24</v>
      </c>
      <c r="C221" s="3" t="s">
        <v>488</v>
      </c>
      <c r="D221" s="2" t="n">
        <v>96</v>
      </c>
      <c r="E221" s="3" t="s">
        <v>495</v>
      </c>
      <c r="F221" s="3" t="s">
        <v>496</v>
      </c>
      <c r="G221" s="2" t="s">
        <v>45</v>
      </c>
      <c r="H221" s="4" t="n">
        <v>335</v>
      </c>
      <c r="I221" s="5" t="n">
        <v>2</v>
      </c>
      <c r="J221" s="2" t="s">
        <v>29</v>
      </c>
      <c r="K221" s="6" t="n">
        <v>0.45</v>
      </c>
      <c r="L221" s="4" t="n">
        <v>184.25</v>
      </c>
      <c r="M221" s="4" t="n">
        <v>312.29</v>
      </c>
      <c r="N221" s="6" t="n">
        <v>0.09</v>
      </c>
      <c r="O221" s="4" t="n">
        <v>28.1</v>
      </c>
      <c r="P221" s="6" t="n">
        <v>0.09</v>
      </c>
      <c r="Q221" s="4" t="n">
        <v>28.1</v>
      </c>
      <c r="R221" s="7" t="n">
        <f aca="false">M221+O221+P221</f>
        <v>340.48</v>
      </c>
      <c r="S221" s="7" t="n">
        <f aca="false">H221*I221</f>
        <v>670</v>
      </c>
      <c r="T221" s="7" t="n">
        <f aca="false">IF(K221="","",ROUND(H221*(1-K221),2))</f>
        <v>184.25</v>
      </c>
      <c r="U221" s="7" t="n">
        <f aca="false">ROUND(L221*I221/1.18,2)</f>
        <v>312.29</v>
      </c>
      <c r="V221" s="7" t="n">
        <f aca="false">ROUND(M221-U221,2)</f>
        <v>0</v>
      </c>
      <c r="W221" s="8" t="str">
        <f aca="false">IF(ABS(V221)&gt;0.011,"CHECK","OK")</f>
        <v>OK</v>
      </c>
    </row>
    <row r="222" customFormat="false" ht="15" hidden="false" customHeight="false" outlineLevel="0" collapsed="false">
      <c r="A222" s="2" t="s">
        <v>285</v>
      </c>
      <c r="B222" s="2" t="s">
        <v>24</v>
      </c>
      <c r="C222" s="3" t="s">
        <v>488</v>
      </c>
      <c r="D222" s="2" t="n">
        <v>97</v>
      </c>
      <c r="E222" s="3" t="s">
        <v>497</v>
      </c>
      <c r="F222" s="3" t="s">
        <v>498</v>
      </c>
      <c r="G222" s="2" t="s">
        <v>39</v>
      </c>
      <c r="H222" s="4" t="n">
        <v>249</v>
      </c>
      <c r="I222" s="5" t="n">
        <v>10</v>
      </c>
      <c r="J222" s="2" t="s">
        <v>40</v>
      </c>
      <c r="K222" s="6" t="n">
        <v>0.45</v>
      </c>
      <c r="L222" s="4" t="n">
        <v>136.95</v>
      </c>
      <c r="M222" s="4" t="n">
        <v>1160.59</v>
      </c>
      <c r="N222" s="6" t="n">
        <v>0.09</v>
      </c>
      <c r="O222" s="4" t="n">
        <v>104.45</v>
      </c>
      <c r="P222" s="6" t="n">
        <v>0.09</v>
      </c>
      <c r="Q222" s="4" t="n">
        <v>104.45</v>
      </c>
      <c r="R222" s="7" t="n">
        <f aca="false">M222+O222+P222</f>
        <v>1265.13</v>
      </c>
      <c r="S222" s="7" t="n">
        <f aca="false">H222*I222</f>
        <v>2490</v>
      </c>
      <c r="T222" s="7" t="n">
        <f aca="false">IF(K222="","",ROUND(H222*(1-K222),2))</f>
        <v>136.95</v>
      </c>
      <c r="U222" s="7" t="n">
        <f aca="false">ROUND(L222*I222/1.18,2)</f>
        <v>1160.59</v>
      </c>
      <c r="V222" s="7" t="n">
        <f aca="false">ROUND(M222-U222,2)</f>
        <v>0</v>
      </c>
      <c r="W222" s="8" t="str">
        <f aca="false">IF(ABS(V222)&gt;0.011,"CHECK","OK")</f>
        <v>OK</v>
      </c>
    </row>
    <row r="223" customFormat="false" ht="15" hidden="false" customHeight="false" outlineLevel="0" collapsed="false">
      <c r="A223" s="2" t="s">
        <v>285</v>
      </c>
      <c r="B223" s="2" t="s">
        <v>24</v>
      </c>
      <c r="C223" s="3" t="s">
        <v>488</v>
      </c>
      <c r="D223" s="2" t="n">
        <v>98</v>
      </c>
      <c r="E223" s="3" t="s">
        <v>499</v>
      </c>
      <c r="F223" s="3" t="s">
        <v>500</v>
      </c>
      <c r="G223" s="2" t="s">
        <v>39</v>
      </c>
      <c r="H223" s="4" t="n">
        <v>323</v>
      </c>
      <c r="I223" s="5" t="n">
        <v>10</v>
      </c>
      <c r="J223" s="2" t="s">
        <v>40</v>
      </c>
      <c r="K223" s="6" t="n">
        <v>0.45</v>
      </c>
      <c r="L223" s="4" t="n">
        <v>177.65</v>
      </c>
      <c r="M223" s="4" t="n">
        <v>1505.51</v>
      </c>
      <c r="N223" s="6" t="n">
        <v>0.09</v>
      </c>
      <c r="O223" s="4" t="n">
        <v>135.49</v>
      </c>
      <c r="P223" s="6" t="n">
        <v>0.09</v>
      </c>
      <c r="Q223" s="4" t="n">
        <v>135.49</v>
      </c>
      <c r="R223" s="7" t="n">
        <f aca="false">M223+O223+P223</f>
        <v>1641.09</v>
      </c>
      <c r="S223" s="7" t="n">
        <f aca="false">H223*I223</f>
        <v>3230</v>
      </c>
      <c r="T223" s="7" t="n">
        <f aca="false">IF(K223="","",ROUND(H223*(1-K223),2))</f>
        <v>177.65</v>
      </c>
      <c r="U223" s="7" t="n">
        <f aca="false">ROUND(L223*I223/1.18,2)</f>
        <v>1505.51</v>
      </c>
      <c r="V223" s="7" t="n">
        <f aca="false">ROUND(M223-U223,2)</f>
        <v>0</v>
      </c>
      <c r="W223" s="8" t="str">
        <f aca="false">IF(ABS(V223)&gt;0.011,"CHECK","OK")</f>
        <v>OK</v>
      </c>
    </row>
    <row r="224" customFormat="false" ht="15" hidden="false" customHeight="false" outlineLevel="0" collapsed="false">
      <c r="A224" s="2" t="s">
        <v>285</v>
      </c>
      <c r="B224" s="2" t="s">
        <v>24</v>
      </c>
      <c r="C224" s="3" t="s">
        <v>488</v>
      </c>
      <c r="D224" s="2" t="n">
        <v>99</v>
      </c>
      <c r="E224" s="3" t="s">
        <v>501</v>
      </c>
      <c r="F224" s="3" t="s">
        <v>502</v>
      </c>
      <c r="G224" s="2" t="s">
        <v>45</v>
      </c>
      <c r="H224" s="4" t="n">
        <v>405</v>
      </c>
      <c r="I224" s="5" t="n">
        <v>2</v>
      </c>
      <c r="J224" s="2" t="s">
        <v>29</v>
      </c>
      <c r="K224" s="6" t="n">
        <v>0.45</v>
      </c>
      <c r="L224" s="4" t="n">
        <v>222.75</v>
      </c>
      <c r="M224" s="4" t="n">
        <v>377.54</v>
      </c>
      <c r="N224" s="6" t="n">
        <v>0.09</v>
      </c>
      <c r="O224" s="4" t="n">
        <v>33.98</v>
      </c>
      <c r="P224" s="6" t="n">
        <v>0.09</v>
      </c>
      <c r="Q224" s="4" t="n">
        <v>33.98</v>
      </c>
      <c r="R224" s="7" t="n">
        <f aca="false">M224+O224+P224</f>
        <v>411.61</v>
      </c>
      <c r="S224" s="7" t="n">
        <f aca="false">H224*I224</f>
        <v>810</v>
      </c>
      <c r="T224" s="7" t="n">
        <f aca="false">IF(K224="","",ROUND(H224*(1-K224),2))</f>
        <v>222.75</v>
      </c>
      <c r="U224" s="7" t="n">
        <f aca="false">ROUND(L224*I224/1.18,2)</f>
        <v>377.54</v>
      </c>
      <c r="V224" s="7" t="n">
        <f aca="false">ROUND(M224-U224,2)</f>
        <v>0</v>
      </c>
      <c r="W224" s="8" t="str">
        <f aca="false">IF(ABS(V224)&gt;0.011,"CHECK","OK")</f>
        <v>OK</v>
      </c>
    </row>
    <row r="225" customFormat="false" ht="15" hidden="false" customHeight="false" outlineLevel="0" collapsed="false">
      <c r="A225" s="2" t="s">
        <v>285</v>
      </c>
      <c r="B225" s="2" t="s">
        <v>24</v>
      </c>
      <c r="C225" s="3" t="s">
        <v>488</v>
      </c>
      <c r="D225" s="2" t="n">
        <v>100</v>
      </c>
      <c r="E225" s="3" t="s">
        <v>503</v>
      </c>
      <c r="F225" s="3" t="s">
        <v>504</v>
      </c>
      <c r="G225" s="2" t="s">
        <v>45</v>
      </c>
      <c r="H225" s="4" t="n">
        <v>337</v>
      </c>
      <c r="I225" s="5" t="n">
        <v>2</v>
      </c>
      <c r="J225" s="2" t="s">
        <v>29</v>
      </c>
      <c r="K225" s="6" t="n">
        <v>0.45</v>
      </c>
      <c r="L225" s="4" t="n">
        <v>185.35</v>
      </c>
      <c r="M225" s="4" t="n">
        <v>314.15</v>
      </c>
      <c r="N225" s="6" t="n">
        <v>0.09</v>
      </c>
      <c r="O225" s="4" t="n">
        <v>28.27</v>
      </c>
      <c r="P225" s="6" t="n">
        <v>0.09</v>
      </c>
      <c r="Q225" s="4" t="n">
        <v>28.27</v>
      </c>
      <c r="R225" s="7" t="n">
        <f aca="false">M225+O225+P225</f>
        <v>342.51</v>
      </c>
      <c r="S225" s="7" t="n">
        <f aca="false">H225*I225</f>
        <v>674</v>
      </c>
      <c r="T225" s="7" t="n">
        <f aca="false">IF(K225="","",ROUND(H225*(1-K225),2))</f>
        <v>185.35</v>
      </c>
      <c r="U225" s="7" t="n">
        <f aca="false">ROUND(L225*I225/1.18,2)</f>
        <v>314.15</v>
      </c>
      <c r="V225" s="7" t="n">
        <f aca="false">ROUND(M225-U225,2)</f>
        <v>0</v>
      </c>
      <c r="W225" s="8" t="str">
        <f aca="false">IF(ABS(V225)&gt;0.011,"CHECK","OK")</f>
        <v>OK</v>
      </c>
    </row>
    <row r="226" customFormat="false" ht="15" hidden="false" customHeight="false" outlineLevel="0" collapsed="false">
      <c r="A226" s="2" t="s">
        <v>285</v>
      </c>
      <c r="B226" s="2" t="s">
        <v>24</v>
      </c>
      <c r="C226" s="3" t="s">
        <v>505</v>
      </c>
      <c r="D226" s="2" t="n">
        <v>101</v>
      </c>
      <c r="E226" s="3" t="s">
        <v>506</v>
      </c>
      <c r="F226" s="3" t="s">
        <v>507</v>
      </c>
      <c r="G226" s="2" t="s">
        <v>508</v>
      </c>
      <c r="H226" s="4" t="n">
        <v>105</v>
      </c>
      <c r="I226" s="5" t="n">
        <v>10</v>
      </c>
      <c r="J226" s="2" t="s">
        <v>40</v>
      </c>
      <c r="K226" s="6"/>
      <c r="L226" s="4" t="n">
        <v>105</v>
      </c>
      <c r="M226" s="4" t="n">
        <v>889.83</v>
      </c>
      <c r="N226" s="6" t="n">
        <v>0.09</v>
      </c>
      <c r="O226" s="4" t="n">
        <v>80.08</v>
      </c>
      <c r="P226" s="6" t="n">
        <v>0.09</v>
      </c>
      <c r="Q226" s="4" t="n">
        <v>80.08</v>
      </c>
      <c r="R226" s="7" t="n">
        <f aca="false">M226+O226+P226</f>
        <v>970</v>
      </c>
      <c r="S226" s="7" t="n">
        <f aca="false">H226*I226</f>
        <v>1050</v>
      </c>
      <c r="T226" s="7" t="str">
        <f aca="false">IF(K226="","",ROUND(H226*(1-K226),2))</f>
        <v/>
      </c>
      <c r="U226" s="7" t="n">
        <f aca="false">ROUND(L226*I226/1.18,2)</f>
        <v>889.83</v>
      </c>
      <c r="V226" s="7" t="n">
        <f aca="false">ROUND(M226-U226,2)</f>
        <v>0</v>
      </c>
      <c r="W226" s="8" t="str">
        <f aca="false">IF(ABS(V226)&gt;0.011,"CHECK","OK")</f>
        <v>OK</v>
      </c>
    </row>
    <row r="228" customFormat="false" ht="15" hidden="false" customHeight="false" outlineLevel="0" collapsed="false">
      <c r="F228" s="9" t="s">
        <v>509</v>
      </c>
      <c r="I228" s="10" t="n">
        <f aca="false">SUM(I2:I226)</f>
        <v>1791</v>
      </c>
      <c r="M228" s="11" t="n">
        <f aca="false">ROUND(SUM(M2:M226),2)</f>
        <v>184505.24</v>
      </c>
      <c r="O228" s="11" t="n">
        <f aca="false">ROUND(SUM(O2:O226),2)</f>
        <v>16604.98</v>
      </c>
      <c r="Q228" s="11" t="n">
        <f aca="false">ROUND(SUM(Q2:Q226),2)</f>
        <v>16604.98</v>
      </c>
      <c r="R228" s="11" t="n">
        <f aca="false">ROUND(SUM(R2:R226),2)</f>
        <v>201130.47</v>
      </c>
      <c r="S228" s="11" t="n">
        <f aca="false">ROUND(SUM(S2:S226),2)</f>
        <v>344978.7</v>
      </c>
    </row>
  </sheetData>
  <autoFilter ref="A1:W2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10" min="9" style="0" width="17"/>
    <col collapsed="false" customWidth="true" hidden="false" outlineLevel="0" max="11" min="11" style="0" width="11"/>
  </cols>
  <sheetData>
    <row r="1" customFormat="false" ht="16.15" hidden="false" customHeight="false" outlineLevel="0" collapsed="false">
      <c r="A1" s="12" t="s">
        <v>510</v>
      </c>
    </row>
    <row r="3" customFormat="false" ht="15" hidden="false" customHeight="false" outlineLevel="0" collapsed="false">
      <c r="A3" s="9" t="s">
        <v>511</v>
      </c>
      <c r="B3" s="13" t="s">
        <v>512</v>
      </c>
    </row>
    <row r="4" customFormat="false" ht="15" hidden="false" customHeight="false" outlineLevel="0" collapsed="false">
      <c r="A4" s="9" t="s">
        <v>513</v>
      </c>
      <c r="B4" s="13" t="s">
        <v>514</v>
      </c>
    </row>
    <row r="5" customFormat="false" ht="15" hidden="false" customHeight="false" outlineLevel="0" collapsed="false">
      <c r="A5" s="9" t="s">
        <v>515</v>
      </c>
      <c r="B5" s="13" t="s">
        <v>516</v>
      </c>
    </row>
    <row r="6" customFormat="false" ht="15" hidden="false" customHeight="false" outlineLevel="0" collapsed="false">
      <c r="A6" s="9" t="s">
        <v>517</v>
      </c>
      <c r="B6" s="13" t="s">
        <v>518</v>
      </c>
    </row>
    <row r="7" customFormat="false" ht="15" hidden="false" customHeight="false" outlineLevel="0" collapsed="false">
      <c r="A7" s="9" t="s">
        <v>519</v>
      </c>
      <c r="B7" s="13" t="s">
        <v>520</v>
      </c>
    </row>
    <row r="8" customFormat="false" ht="15" hidden="false" customHeight="false" outlineLevel="0" collapsed="false">
      <c r="A8" s="9" t="s">
        <v>521</v>
      </c>
      <c r="B8" s="13" t="s">
        <v>522</v>
      </c>
    </row>
    <row r="10" customFormat="false" ht="31.5" hidden="false" customHeight="true" outlineLevel="0" collapsed="false">
      <c r="A10" s="1" t="s">
        <v>0</v>
      </c>
      <c r="B10" s="1" t="s">
        <v>523</v>
      </c>
      <c r="C10" s="1" t="s">
        <v>524</v>
      </c>
      <c r="D10" s="1" t="s">
        <v>525</v>
      </c>
      <c r="E10" s="1" t="s">
        <v>526</v>
      </c>
      <c r="F10" s="1" t="s">
        <v>527</v>
      </c>
      <c r="G10" s="1" t="s">
        <v>528</v>
      </c>
      <c r="H10" s="1" t="s">
        <v>529</v>
      </c>
      <c r="I10" s="1" t="s">
        <v>530</v>
      </c>
      <c r="J10" s="1" t="s">
        <v>531</v>
      </c>
      <c r="K10" s="1" t="s">
        <v>21</v>
      </c>
    </row>
    <row r="11" customFormat="false" ht="15" hidden="false" customHeight="false" outlineLevel="0" collapsed="false">
      <c r="A11" s="2" t="s">
        <v>23</v>
      </c>
      <c r="B11" s="14" t="n">
        <f aca="false">COUNTIFS('Line Items'!$A$2:$A$226,$A11)</f>
        <v>30</v>
      </c>
      <c r="C11" s="14" t="n">
        <f aca="false">SUMIFS('Line Items'!$I$2:$I$226,'Line Items'!$A$2:$A$226,$A11)</f>
        <v>130</v>
      </c>
      <c r="D11" s="7" t="n">
        <f aca="false">ROUND(SUMIFS('Line Items'!$M$2:$M$226,'Line Items'!$A$2:$A$226,$A11),2)</f>
        <v>28641.68</v>
      </c>
      <c r="E11" s="4" t="n">
        <v>28641.68</v>
      </c>
      <c r="F11" s="4" t="n">
        <v>2577.75</v>
      </c>
      <c r="G11" s="4" t="n">
        <v>2577.75</v>
      </c>
      <c r="H11" s="4" t="n">
        <v>-0.18</v>
      </c>
      <c r="I11" s="7" t="n">
        <f aca="false">ROUND(E11+F11+G11+H11,2)</f>
        <v>33797</v>
      </c>
      <c r="J11" s="4" t="n">
        <v>33797</v>
      </c>
      <c r="K11" s="7" t="n">
        <f aca="false">ROUND(D11-E11,2)</f>
        <v>0</v>
      </c>
    </row>
    <row r="12" customFormat="false" ht="15" hidden="false" customHeight="false" outlineLevel="0" collapsed="false">
      <c r="A12" s="2" t="s">
        <v>95</v>
      </c>
      <c r="B12" s="14" t="n">
        <f aca="false">COUNTIFS('Line Items'!$A$2:$A$226,$A12)</f>
        <v>94</v>
      </c>
      <c r="C12" s="14" t="n">
        <f aca="false">SUMIFS('Line Items'!$I$2:$I$226,'Line Items'!$A$2:$A$226,$A12)</f>
        <v>282</v>
      </c>
      <c r="D12" s="7" t="n">
        <f aca="false">ROUND(SUMIFS('Line Items'!$M$2:$M$226,'Line Items'!$A$2:$A$226,$A12),2)</f>
        <v>88074.15</v>
      </c>
      <c r="E12" s="4" t="n">
        <v>88074.15</v>
      </c>
      <c r="F12" s="4" t="n">
        <v>7926.67</v>
      </c>
      <c r="G12" s="4" t="n">
        <v>7926.67</v>
      </c>
      <c r="H12" s="4" t="n">
        <v>-0.49</v>
      </c>
      <c r="I12" s="7" t="n">
        <f aca="false">ROUND(E12+F12+G12+H12,2)</f>
        <v>103927</v>
      </c>
      <c r="J12" s="4" t="n">
        <v>103927</v>
      </c>
      <c r="K12" s="7" t="n">
        <f aca="false">ROUND(D12-E12,2)</f>
        <v>0</v>
      </c>
    </row>
    <row r="13" customFormat="false" ht="15" hidden="false" customHeight="false" outlineLevel="0" collapsed="false">
      <c r="A13" s="2" t="s">
        <v>285</v>
      </c>
      <c r="B13" s="14" t="n">
        <f aca="false">COUNTIFS('Line Items'!$A$2:$A$226,$A13)</f>
        <v>101</v>
      </c>
      <c r="C13" s="14" t="n">
        <f aca="false">SUMIFS('Line Items'!$I$2:$I$226,'Line Items'!$A$2:$A$226,$A13)</f>
        <v>1379</v>
      </c>
      <c r="D13" s="7" t="n">
        <f aca="false">ROUND(SUMIFS('Line Items'!$M$2:$M$226,'Line Items'!$A$2:$A$226,$A13),2)</f>
        <v>67789.41</v>
      </c>
      <c r="E13" s="4" t="n">
        <v>67789.41</v>
      </c>
      <c r="F13" s="4" t="n">
        <v>6101.05</v>
      </c>
      <c r="G13" s="4" t="n">
        <v>6101.05</v>
      </c>
      <c r="H13" s="4" t="n">
        <v>0.49</v>
      </c>
      <c r="I13" s="7" t="n">
        <f aca="false">ROUND(E13+F13+G13+H13,2)</f>
        <v>79992</v>
      </c>
      <c r="J13" s="4" t="n">
        <v>79992</v>
      </c>
      <c r="K13" s="7" t="n">
        <f aca="false">ROUND(D13-E13,2)</f>
        <v>0</v>
      </c>
    </row>
    <row r="14" customFormat="false" ht="15" hidden="false" customHeight="false" outlineLevel="0" collapsed="false">
      <c r="A14" s="9" t="s">
        <v>532</v>
      </c>
      <c r="B14" s="10" t="n">
        <f aca="false">SUM(B11:B13)</f>
        <v>225</v>
      </c>
      <c r="C14" s="10" t="n">
        <f aca="false">SUM(C11:C13)</f>
        <v>1791</v>
      </c>
      <c r="D14" s="11" t="n">
        <f aca="false">SUM(D11:D13)</f>
        <v>184505.24</v>
      </c>
      <c r="E14" s="11" t="n">
        <f aca="false">SUM(E11:E13)</f>
        <v>184505.24</v>
      </c>
      <c r="F14" s="11" t="n">
        <f aca="false">SUM(F11:F13)</f>
        <v>16605.47</v>
      </c>
      <c r="G14" s="11" t="n">
        <f aca="false">SUM(G11:G13)</f>
        <v>16605.47</v>
      </c>
      <c r="H14" s="11" t="n">
        <f aca="false">SUM(H11:H13)</f>
        <v>-0.18</v>
      </c>
      <c r="I14" s="11" t="n">
        <f aca="false">SUM(I11:I13)</f>
        <v>217716</v>
      </c>
      <c r="J14" s="11" t="n">
        <f aca="false">SUM(J11:J13)</f>
        <v>217716</v>
      </c>
      <c r="K14" s="11" t="n">
        <f aca="false">SUM(K11:K13)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4" min="3" style="0" width="8"/>
    <col collapsed="false" customWidth="true" hidden="false" outlineLevel="0" max="8" min="5" style="0" width="15"/>
    <col collapsed="false" customWidth="true" hidden="false" outlineLevel="0" max="10" min="9" style="0" width="11"/>
    <col collapsed="false" customWidth="true" hidden="false" outlineLevel="0" max="11" min="11" style="0" width="12"/>
  </cols>
  <sheetData>
    <row r="1" customFormat="false" ht="16.15" hidden="false" customHeight="false" outlineLevel="0" collapsed="false">
      <c r="A1" s="12" t="s">
        <v>533</v>
      </c>
    </row>
    <row r="3" customFormat="false" ht="33.75" hidden="false" customHeight="true" outlineLevel="0" collapsed="false">
      <c r="A3" s="1" t="s">
        <v>0</v>
      </c>
      <c r="B3" s="1" t="s">
        <v>2</v>
      </c>
      <c r="C3" s="1" t="s">
        <v>523</v>
      </c>
      <c r="D3" s="1" t="s">
        <v>8</v>
      </c>
      <c r="E3" s="1" t="s">
        <v>534</v>
      </c>
      <c r="F3" s="1" t="s">
        <v>535</v>
      </c>
      <c r="G3" s="1" t="s">
        <v>536</v>
      </c>
      <c r="H3" s="1" t="s">
        <v>537</v>
      </c>
      <c r="I3" s="1" t="s">
        <v>538</v>
      </c>
      <c r="J3" s="1" t="s">
        <v>539</v>
      </c>
      <c r="K3" s="1" t="s">
        <v>540</v>
      </c>
    </row>
    <row r="4" customFormat="false" ht="15" hidden="false" customHeight="false" outlineLevel="0" collapsed="false">
      <c r="A4" s="2" t="s">
        <v>23</v>
      </c>
      <c r="B4" s="3" t="s">
        <v>25</v>
      </c>
      <c r="C4" s="14" t="n">
        <f aca="false">COUNTIFS('Line Items'!$A$2:$A$226,$A4,'Line Items'!$C$2:$C$226,$B4)</f>
        <v>1</v>
      </c>
      <c r="D4" s="14" t="n">
        <f aca="false">SUMIFS('Line Items'!$I$2:$I$226,'Line Items'!$A$2:$A$226,$A4,'Line Items'!$C$2:$C$226,$B4)</f>
        <v>40</v>
      </c>
      <c r="E4" s="7" t="n">
        <f aca="false">ROUND(SUMIFS('Line Items'!$S$2:$S$226,'Line Items'!$A$2:$A$226,$A4,'Line Items'!$C$2:$C$226,$B4),2)</f>
        <v>1800</v>
      </c>
      <c r="F4" s="4" t="n">
        <v>1800</v>
      </c>
      <c r="G4" s="7" t="n">
        <f aca="false">ROUND(SUMIFS('Line Items'!$M$2:$M$226,'Line Items'!$A$2:$A$226,$A4,'Line Items'!$C$2:$C$226,$B4),2)</f>
        <v>1525.42</v>
      </c>
      <c r="H4" s="4" t="n">
        <v>1525.42</v>
      </c>
      <c r="I4" s="7" t="n">
        <f aca="false">ROUND(E4-F4,2)</f>
        <v>0</v>
      </c>
      <c r="J4" s="7" t="n">
        <f aca="false">ROUND(G4-H4,2)</f>
        <v>0</v>
      </c>
      <c r="K4" s="8" t="str">
        <f aca="false">IF(AND(ABS(I4)&lt;0.02,ABS(J4)&lt;0.02),"YES","CHECK")</f>
        <v>YES</v>
      </c>
    </row>
    <row r="5" customFormat="false" ht="15" hidden="false" customHeight="false" outlineLevel="0" collapsed="false">
      <c r="A5" s="2" t="s">
        <v>23</v>
      </c>
      <c r="B5" s="3" t="s">
        <v>30</v>
      </c>
      <c r="C5" s="14" t="n">
        <f aca="false">COUNTIFS('Line Items'!$A$2:$A$226,$A5,'Line Items'!$C$2:$C$226,$B5)</f>
        <v>2</v>
      </c>
      <c r="D5" s="14" t="n">
        <f aca="false">SUMIFS('Line Items'!$I$2:$I$226,'Line Items'!$A$2:$A$226,$A5,'Line Items'!$C$2:$C$226,$B5)</f>
        <v>10</v>
      </c>
      <c r="E5" s="7" t="n">
        <f aca="false">ROUND(SUMIFS('Line Items'!$S$2:$S$226,'Line Items'!$A$2:$A$226,$A5,'Line Items'!$C$2:$C$226,$B5),2)</f>
        <v>870</v>
      </c>
      <c r="F5" s="4" t="n">
        <v>870</v>
      </c>
      <c r="G5" s="7" t="n">
        <f aca="false">ROUND(SUMIFS('Line Items'!$M$2:$M$226,'Line Items'!$A$2:$A$226,$A5,'Line Items'!$C$2:$C$226,$B5),2)</f>
        <v>420.25</v>
      </c>
      <c r="H5" s="4" t="n">
        <v>420.25</v>
      </c>
      <c r="I5" s="7" t="n">
        <f aca="false">ROUND(E5-F5,2)</f>
        <v>0</v>
      </c>
      <c r="J5" s="7" t="n">
        <f aca="false">ROUND(G5-H5,2)</f>
        <v>0</v>
      </c>
      <c r="K5" s="8" t="str">
        <f aca="false">IF(AND(ABS(I5)&lt;0.02,ABS(J5)&lt;0.02),"YES","CHECK")</f>
        <v>YES</v>
      </c>
    </row>
    <row r="6" customFormat="false" ht="15" hidden="false" customHeight="false" outlineLevel="0" collapsed="false">
      <c r="A6" s="2" t="s">
        <v>23</v>
      </c>
      <c r="B6" s="3" t="s">
        <v>36</v>
      </c>
      <c r="C6" s="14" t="n">
        <f aca="false">COUNTIFS('Line Items'!$A$2:$A$226,$A6,'Line Items'!$C$2:$C$226,$B6)</f>
        <v>6</v>
      </c>
      <c r="D6" s="14" t="n">
        <f aca="false">SUMIFS('Line Items'!$I$2:$I$226,'Line Items'!$A$2:$A$226,$A6,'Line Items'!$C$2:$C$226,$B6)</f>
        <v>13</v>
      </c>
      <c r="E6" s="7" t="n">
        <f aca="false">ROUND(SUMIFS('Line Items'!$S$2:$S$226,'Line Items'!$A$2:$A$226,$A6,'Line Items'!$C$2:$C$226,$B6),2)</f>
        <v>16433</v>
      </c>
      <c r="F6" s="4" t="n">
        <v>16433</v>
      </c>
      <c r="G6" s="7" t="n">
        <f aca="false">ROUND(SUMIFS('Line Items'!$M$2:$M$226,'Line Items'!$A$2:$A$226,$A6,'Line Items'!$C$2:$C$226,$B6),2)</f>
        <v>9469.87</v>
      </c>
      <c r="H6" s="4" t="n">
        <v>9469.87</v>
      </c>
      <c r="I6" s="7" t="n">
        <f aca="false">ROUND(E6-F6,2)</f>
        <v>0</v>
      </c>
      <c r="J6" s="7" t="n">
        <f aca="false">ROUND(G6-H6,2)</f>
        <v>0</v>
      </c>
      <c r="K6" s="8" t="str">
        <f aca="false">IF(AND(ABS(I6)&lt;0.02,ABS(J6)&lt;0.02),"YES","CHECK")</f>
        <v>YES</v>
      </c>
    </row>
    <row r="7" customFormat="false" ht="15" hidden="false" customHeight="false" outlineLevel="0" collapsed="false">
      <c r="A7" s="2" t="s">
        <v>23</v>
      </c>
      <c r="B7" s="3" t="s">
        <v>52</v>
      </c>
      <c r="C7" s="14" t="n">
        <f aca="false">COUNTIFS('Line Items'!$A$2:$A$226,$A7,'Line Items'!$C$2:$C$226,$B7)</f>
        <v>20</v>
      </c>
      <c r="D7" s="14" t="n">
        <f aca="false">SUMIFS('Line Items'!$I$2:$I$226,'Line Items'!$A$2:$A$226,$A7,'Line Items'!$C$2:$C$226,$B7)</f>
        <v>57</v>
      </c>
      <c r="E7" s="7" t="n">
        <f aca="false">ROUND(SUMIFS('Line Items'!$S$2:$S$226,'Line Items'!$A$2:$A$226,$A7,'Line Items'!$C$2:$C$226,$B7),2)</f>
        <v>28618</v>
      </c>
      <c r="F7" s="4" t="n">
        <v>28618</v>
      </c>
      <c r="G7" s="7" t="n">
        <f aca="false">ROUND(SUMIFS('Line Items'!$M$2:$M$226,'Line Items'!$A$2:$A$226,$A7,'Line Items'!$C$2:$C$226,$B7),2)</f>
        <v>16395.63</v>
      </c>
      <c r="H7" s="4" t="n">
        <v>16395.63</v>
      </c>
      <c r="I7" s="7" t="n">
        <f aca="false">ROUND(E7-F7,2)</f>
        <v>0</v>
      </c>
      <c r="J7" s="7" t="n">
        <f aca="false">ROUND(G7-H7,2)</f>
        <v>0</v>
      </c>
      <c r="K7" s="8" t="str">
        <f aca="false">IF(AND(ABS(I7)&lt;0.02,ABS(J7)&lt;0.02),"YES","CHECK")</f>
        <v>YES</v>
      </c>
    </row>
    <row r="8" customFormat="false" ht="15" hidden="false" customHeight="false" outlineLevel="0" collapsed="false">
      <c r="A8" s="2" t="s">
        <v>23</v>
      </c>
      <c r="B8" s="3" t="s">
        <v>91</v>
      </c>
      <c r="C8" s="14" t="n">
        <f aca="false">COUNTIFS('Line Items'!$A$2:$A$226,$A8,'Line Items'!$C$2:$C$226,$B8)</f>
        <v>1</v>
      </c>
      <c r="D8" s="14" t="n">
        <f aca="false">SUMIFS('Line Items'!$I$2:$I$226,'Line Items'!$A$2:$A$226,$A8,'Line Items'!$C$2:$C$226,$B8)</f>
        <v>10</v>
      </c>
      <c r="E8" s="7" t="n">
        <f aca="false">ROUND(SUMIFS('Line Items'!$S$2:$S$226,'Line Items'!$A$2:$A$226,$A8,'Line Items'!$C$2:$C$226,$B8),2)</f>
        <v>980</v>
      </c>
      <c r="F8" s="4" t="n">
        <v>980</v>
      </c>
      <c r="G8" s="7" t="n">
        <f aca="false">ROUND(SUMIFS('Line Items'!$M$2:$M$226,'Line Items'!$A$2:$A$226,$A8,'Line Items'!$C$2:$C$226,$B8),2)</f>
        <v>830.51</v>
      </c>
      <c r="H8" s="4" t="n">
        <v>830.51</v>
      </c>
      <c r="I8" s="7" t="n">
        <f aca="false">ROUND(E8-F8,2)</f>
        <v>0</v>
      </c>
      <c r="J8" s="7" t="n">
        <f aca="false">ROUND(G8-H8,2)</f>
        <v>0</v>
      </c>
      <c r="K8" s="8" t="str">
        <f aca="false">IF(AND(ABS(I8)&lt;0.02,ABS(J8)&lt;0.02),"YES","CHECK")</f>
        <v>YES</v>
      </c>
    </row>
    <row r="9" customFormat="false" ht="15" hidden="false" customHeight="false" outlineLevel="0" collapsed="false">
      <c r="A9" s="2" t="s">
        <v>95</v>
      </c>
      <c r="B9" s="3" t="s">
        <v>96</v>
      </c>
      <c r="C9" s="14" t="n">
        <f aca="false">COUNTIFS('Line Items'!$A$2:$A$226,$A9,'Line Items'!$C$2:$C$226,$B9)</f>
        <v>94</v>
      </c>
      <c r="D9" s="14" t="n">
        <f aca="false">SUMIFS('Line Items'!$I$2:$I$226,'Line Items'!$A$2:$A$226,$A9,'Line Items'!$C$2:$C$226,$B9)</f>
        <v>282</v>
      </c>
      <c r="E9" s="7" t="n">
        <f aca="false">ROUND(SUMIFS('Line Items'!$S$2:$S$226,'Line Items'!$A$2:$A$226,$A9,'Line Items'!$C$2:$C$226,$B9),2)</f>
        <v>167625</v>
      </c>
      <c r="F9" s="4" t="n">
        <v>167625</v>
      </c>
      <c r="G9" s="7" t="n">
        <f aca="false">ROUND(SUMIFS('Line Items'!$M$2:$M$226,'Line Items'!$A$2:$A$226,$A9,'Line Items'!$C$2:$C$226,$B9),2)</f>
        <v>88074.15</v>
      </c>
      <c r="H9" s="4" t="n">
        <v>88074.15</v>
      </c>
      <c r="I9" s="7" t="n">
        <f aca="false">ROUND(E9-F9,2)</f>
        <v>0</v>
      </c>
      <c r="J9" s="7" t="n">
        <f aca="false">ROUND(G9-H9,2)</f>
        <v>0</v>
      </c>
      <c r="K9" s="8" t="str">
        <f aca="false">IF(AND(ABS(I9)&lt;0.02,ABS(J9)&lt;0.02),"YES","CHECK")</f>
        <v>YES</v>
      </c>
    </row>
    <row r="10" customFormat="false" ht="15" hidden="false" customHeight="false" outlineLevel="0" collapsed="false">
      <c r="A10" s="2" t="s">
        <v>285</v>
      </c>
      <c r="B10" s="3" t="s">
        <v>286</v>
      </c>
      <c r="C10" s="14" t="n">
        <f aca="false">COUNTIFS('Line Items'!$A$2:$A$226,$A10,'Line Items'!$C$2:$C$226,$B10)</f>
        <v>2</v>
      </c>
      <c r="D10" s="14" t="n">
        <f aca="false">SUMIFS('Line Items'!$I$2:$I$226,'Line Items'!$A$2:$A$226,$A10,'Line Items'!$C$2:$C$226,$B10)</f>
        <v>4</v>
      </c>
      <c r="E10" s="7" t="n">
        <f aca="false">ROUND(SUMIFS('Line Items'!$S$2:$S$226,'Line Items'!$A$2:$A$226,$A10,'Line Items'!$C$2:$C$226,$B10),2)</f>
        <v>4476</v>
      </c>
      <c r="F10" s="4" t="n">
        <v>4476</v>
      </c>
      <c r="G10" s="7" t="n">
        <f aca="false">ROUND(SUMIFS('Line Items'!$M$2:$M$226,'Line Items'!$A$2:$A$226,$A10,'Line Items'!$C$2:$C$226,$B10),2)</f>
        <v>2465.59</v>
      </c>
      <c r="H10" s="4" t="n">
        <v>2465.59</v>
      </c>
      <c r="I10" s="7" t="n">
        <f aca="false">ROUND(E10-F10,2)</f>
        <v>0</v>
      </c>
      <c r="J10" s="7" t="n">
        <f aca="false">ROUND(G10-H10,2)</f>
        <v>0</v>
      </c>
      <c r="K10" s="8" t="str">
        <f aca="false">IF(AND(ABS(I10)&lt;0.02,ABS(J10)&lt;0.02),"YES","CHECK")</f>
        <v>YES</v>
      </c>
    </row>
    <row r="11" customFormat="false" ht="15" hidden="false" customHeight="false" outlineLevel="0" collapsed="false">
      <c r="A11" s="2" t="s">
        <v>285</v>
      </c>
      <c r="B11" s="3" t="s">
        <v>292</v>
      </c>
      <c r="C11" s="14" t="n">
        <f aca="false">COUNTIFS('Line Items'!$A$2:$A$226,$A11,'Line Items'!$C$2:$C$226,$B11)</f>
        <v>1</v>
      </c>
      <c r="D11" s="14" t="n">
        <f aca="false">SUMIFS('Line Items'!$I$2:$I$226,'Line Items'!$A$2:$A$226,$A11,'Line Items'!$C$2:$C$226,$B11)</f>
        <v>2</v>
      </c>
      <c r="E11" s="7" t="n">
        <f aca="false">ROUND(SUMIFS('Line Items'!$S$2:$S$226,'Line Items'!$A$2:$A$226,$A11,'Line Items'!$C$2:$C$226,$B11),2)</f>
        <v>678</v>
      </c>
      <c r="F11" s="4" t="n">
        <v>678</v>
      </c>
      <c r="G11" s="7" t="n">
        <f aca="false">ROUND(SUMIFS('Line Items'!$M$2:$M$226,'Line Items'!$A$2:$A$226,$A11,'Line Items'!$C$2:$C$226,$B11),2)</f>
        <v>316.02</v>
      </c>
      <c r="H11" s="4" t="n">
        <v>316.02</v>
      </c>
      <c r="I11" s="7" t="n">
        <f aca="false">ROUND(E11-F11,2)</f>
        <v>0</v>
      </c>
      <c r="J11" s="7" t="n">
        <f aca="false">ROUND(G11-H11,2)</f>
        <v>0</v>
      </c>
      <c r="K11" s="8" t="str">
        <f aca="false">IF(AND(ABS(I11)&lt;0.02,ABS(J11)&lt;0.02),"YES","CHECK")</f>
        <v>YES</v>
      </c>
    </row>
    <row r="12" customFormat="false" ht="15" hidden="false" customHeight="false" outlineLevel="0" collapsed="false">
      <c r="A12" s="2" t="s">
        <v>285</v>
      </c>
      <c r="B12" s="3" t="s">
        <v>296</v>
      </c>
      <c r="C12" s="14" t="n">
        <f aca="false">COUNTIFS('Line Items'!$A$2:$A$226,$A12,'Line Items'!$C$2:$C$226,$B12)</f>
        <v>16</v>
      </c>
      <c r="D12" s="14" t="n">
        <f aca="false">SUMIFS('Line Items'!$I$2:$I$226,'Line Items'!$A$2:$A$226,$A12,'Line Items'!$C$2:$C$226,$B12)</f>
        <v>150</v>
      </c>
      <c r="E12" s="7" t="n">
        <f aca="false">ROUND(SUMIFS('Line Items'!$S$2:$S$226,'Line Items'!$A$2:$A$226,$A12,'Line Items'!$C$2:$C$226,$B12),2)</f>
        <v>9200</v>
      </c>
      <c r="F12" s="4" t="n">
        <v>9200</v>
      </c>
      <c r="G12" s="7" t="n">
        <f aca="false">ROUND(SUMIFS('Line Items'!$M$2:$M$226,'Line Items'!$A$2:$A$226,$A12,'Line Items'!$C$2:$C$226,$B12),2)</f>
        <v>5022.02</v>
      </c>
      <c r="H12" s="4" t="n">
        <v>5022.02</v>
      </c>
      <c r="I12" s="7" t="n">
        <f aca="false">ROUND(E12-F12,2)</f>
        <v>0</v>
      </c>
      <c r="J12" s="7" t="n">
        <f aca="false">ROUND(G12-H12,2)</f>
        <v>0</v>
      </c>
      <c r="K12" s="8" t="str">
        <f aca="false">IF(AND(ABS(I12)&lt;0.02,ABS(J12)&lt;0.02),"YES","CHECK")</f>
        <v>YES</v>
      </c>
    </row>
    <row r="13" customFormat="false" ht="15" hidden="false" customHeight="false" outlineLevel="0" collapsed="false">
      <c r="A13" s="2" t="s">
        <v>285</v>
      </c>
      <c r="B13" s="3" t="s">
        <v>331</v>
      </c>
      <c r="C13" s="14" t="n">
        <f aca="false">COUNTIFS('Line Items'!$A$2:$A$226,$A13,'Line Items'!$C$2:$C$226,$B13)</f>
        <v>9</v>
      </c>
      <c r="D13" s="14" t="n">
        <f aca="false">SUMIFS('Line Items'!$I$2:$I$226,'Line Items'!$A$2:$A$226,$A13,'Line Items'!$C$2:$C$226,$B13)</f>
        <v>105</v>
      </c>
      <c r="E13" s="7" t="n">
        <f aca="false">ROUND(SUMIFS('Line Items'!$S$2:$S$226,'Line Items'!$A$2:$A$226,$A13,'Line Items'!$C$2:$C$226,$B13),2)</f>
        <v>23090</v>
      </c>
      <c r="F13" s="4" t="n">
        <v>23090</v>
      </c>
      <c r="G13" s="7" t="n">
        <f aca="false">ROUND(SUMIFS('Line Items'!$M$2:$M$226,'Line Items'!$A$2:$A$226,$A13,'Line Items'!$C$2:$C$226,$B13),2)</f>
        <v>10370.93</v>
      </c>
      <c r="H13" s="4" t="n">
        <v>10370.93</v>
      </c>
      <c r="I13" s="7" t="n">
        <f aca="false">ROUND(E13-F13,2)</f>
        <v>0</v>
      </c>
      <c r="J13" s="7" t="n">
        <f aca="false">ROUND(G13-H13,2)</f>
        <v>0</v>
      </c>
      <c r="K13" s="8" t="str">
        <f aca="false">IF(AND(ABS(I13)&lt;0.02,ABS(J13)&lt;0.02),"YES","CHECK")</f>
        <v>YES</v>
      </c>
    </row>
    <row r="14" customFormat="false" ht="15" hidden="false" customHeight="false" outlineLevel="0" collapsed="false">
      <c r="A14" s="2" t="s">
        <v>285</v>
      </c>
      <c r="B14" s="3" t="s">
        <v>351</v>
      </c>
      <c r="C14" s="14" t="n">
        <f aca="false">COUNTIFS('Line Items'!$A$2:$A$226,$A14,'Line Items'!$C$2:$C$226,$B14)</f>
        <v>4</v>
      </c>
      <c r="D14" s="14" t="n">
        <f aca="false">SUMIFS('Line Items'!$I$2:$I$226,'Line Items'!$A$2:$A$226,$A14,'Line Items'!$C$2:$C$226,$B14)</f>
        <v>155</v>
      </c>
      <c r="E14" s="7" t="n">
        <f aca="false">ROUND(SUMIFS('Line Items'!$S$2:$S$226,'Line Items'!$A$2:$A$226,$A14,'Line Items'!$C$2:$C$226,$B14),2)</f>
        <v>974.5</v>
      </c>
      <c r="F14" s="4" t="n">
        <v>974.5</v>
      </c>
      <c r="G14" s="7" t="n">
        <f aca="false">ROUND(SUMIFS('Line Items'!$M$2:$M$226,'Line Items'!$A$2:$A$226,$A14,'Line Items'!$C$2:$C$226,$B14),2)</f>
        <v>454.22</v>
      </c>
      <c r="H14" s="4" t="n">
        <v>454.22</v>
      </c>
      <c r="I14" s="7" t="n">
        <f aca="false">ROUND(E14-F14,2)</f>
        <v>0</v>
      </c>
      <c r="J14" s="7" t="n">
        <f aca="false">ROUND(G14-H14,2)</f>
        <v>0</v>
      </c>
      <c r="K14" s="8" t="str">
        <f aca="false">IF(AND(ABS(I14)&lt;0.02,ABS(J14)&lt;0.02),"YES","CHECK")</f>
        <v>YES</v>
      </c>
    </row>
    <row r="15" customFormat="false" ht="15" hidden="false" customHeight="false" outlineLevel="0" collapsed="false">
      <c r="A15" s="2" t="s">
        <v>285</v>
      </c>
      <c r="B15" s="3" t="s">
        <v>30</v>
      </c>
      <c r="C15" s="14" t="n">
        <f aca="false">COUNTIFS('Line Items'!$A$2:$A$226,$A15,'Line Items'!$C$2:$C$226,$B15)</f>
        <v>21</v>
      </c>
      <c r="D15" s="14" t="n">
        <f aca="false">SUMIFS('Line Items'!$I$2:$I$226,'Line Items'!$A$2:$A$226,$A15,'Line Items'!$C$2:$C$226,$B15)</f>
        <v>567</v>
      </c>
      <c r="E15" s="7" t="n">
        <f aca="false">ROUND(SUMIFS('Line Items'!$S$2:$S$226,'Line Items'!$A$2:$A$226,$A15,'Line Items'!$C$2:$C$226,$B15),2)</f>
        <v>7157.2</v>
      </c>
      <c r="F15" s="4" t="n">
        <v>7157.2</v>
      </c>
      <c r="G15" s="7" t="n">
        <f aca="false">ROUND(SUMIFS('Line Items'!$M$2:$M$226,'Line Items'!$A$2:$A$226,$A15,'Line Items'!$C$2:$C$226,$B15),2)</f>
        <v>3457.28</v>
      </c>
      <c r="H15" s="4" t="n">
        <v>3457.28</v>
      </c>
      <c r="I15" s="7" t="n">
        <f aca="false">ROUND(E15-F15,2)</f>
        <v>0</v>
      </c>
      <c r="J15" s="7" t="n">
        <f aca="false">ROUND(G15-H15,2)</f>
        <v>0</v>
      </c>
      <c r="K15" s="8" t="str">
        <f aca="false">IF(AND(ABS(I15)&lt;0.02,ABS(J15)&lt;0.02),"YES","CHECK")</f>
        <v>YES</v>
      </c>
    </row>
    <row r="16" customFormat="false" ht="15" hidden="false" customHeight="false" outlineLevel="0" collapsed="false">
      <c r="A16" s="2" t="s">
        <v>285</v>
      </c>
      <c r="B16" s="3" t="s">
        <v>401</v>
      </c>
      <c r="C16" s="14" t="n">
        <f aca="false">COUNTIFS('Line Items'!$A$2:$A$226,$A16,'Line Items'!$C$2:$C$226,$B16)</f>
        <v>15</v>
      </c>
      <c r="D16" s="14" t="n">
        <f aca="false">SUMIFS('Line Items'!$I$2:$I$226,'Line Items'!$A$2:$A$226,$A16,'Line Items'!$C$2:$C$226,$B16)</f>
        <v>115</v>
      </c>
      <c r="E16" s="7" t="n">
        <f aca="false">ROUND(SUMIFS('Line Items'!$S$2:$S$226,'Line Items'!$A$2:$A$226,$A16,'Line Items'!$C$2:$C$226,$B16),2)</f>
        <v>32271</v>
      </c>
      <c r="F16" s="4" t="n">
        <v>32271</v>
      </c>
      <c r="G16" s="7" t="n">
        <f aca="false">ROUND(SUMIFS('Line Items'!$M$2:$M$226,'Line Items'!$A$2:$A$226,$A16,'Line Items'!$C$2:$C$226,$B16),2)</f>
        <v>19690.78</v>
      </c>
      <c r="H16" s="4" t="n">
        <v>19690.78</v>
      </c>
      <c r="I16" s="7" t="n">
        <f aca="false">ROUND(E16-F16,2)</f>
        <v>0</v>
      </c>
      <c r="J16" s="7" t="n">
        <f aca="false">ROUND(G16-H16,2)</f>
        <v>0</v>
      </c>
      <c r="K16" s="8" t="str">
        <f aca="false">IF(AND(ABS(I16)&lt;0.02,ABS(J16)&lt;0.02),"YES","CHECK")</f>
        <v>YES</v>
      </c>
    </row>
    <row r="17" customFormat="false" ht="15" hidden="false" customHeight="false" outlineLevel="0" collapsed="false">
      <c r="A17" s="2" t="s">
        <v>285</v>
      </c>
      <c r="B17" s="3" t="s">
        <v>435</v>
      </c>
      <c r="C17" s="14" t="n">
        <f aca="false">COUNTIFS('Line Items'!$A$2:$A$226,$A17,'Line Items'!$C$2:$C$226,$B17)</f>
        <v>1</v>
      </c>
      <c r="D17" s="14" t="n">
        <f aca="false">SUMIFS('Line Items'!$I$2:$I$226,'Line Items'!$A$2:$A$226,$A17,'Line Items'!$C$2:$C$226,$B17)</f>
        <v>10</v>
      </c>
      <c r="E17" s="7" t="n">
        <f aca="false">ROUND(SUMIFS('Line Items'!$S$2:$S$226,'Line Items'!$A$2:$A$226,$A17,'Line Items'!$C$2:$C$226,$B17),2)</f>
        <v>1600</v>
      </c>
      <c r="F17" s="4" t="n">
        <v>1600</v>
      </c>
      <c r="G17" s="7" t="n">
        <f aca="false">ROUND(SUMIFS('Line Items'!$M$2:$M$226,'Line Items'!$A$2:$A$226,$A17,'Line Items'!$C$2:$C$226,$B17),2)</f>
        <v>976.27</v>
      </c>
      <c r="H17" s="4" t="n">
        <v>976.27</v>
      </c>
      <c r="I17" s="7" t="n">
        <f aca="false">ROUND(E17-F17,2)</f>
        <v>0</v>
      </c>
      <c r="J17" s="7" t="n">
        <f aca="false">ROUND(G17-H17,2)</f>
        <v>0</v>
      </c>
      <c r="K17" s="8" t="str">
        <f aca="false">IF(AND(ABS(I17)&lt;0.02,ABS(J17)&lt;0.02),"YES","CHECK")</f>
        <v>YES</v>
      </c>
    </row>
    <row r="18" customFormat="false" ht="15" hidden="false" customHeight="false" outlineLevel="0" collapsed="false">
      <c r="A18" s="2" t="s">
        <v>285</v>
      </c>
      <c r="B18" s="3" t="s">
        <v>438</v>
      </c>
      <c r="C18" s="14" t="n">
        <f aca="false">COUNTIFS('Line Items'!$A$2:$A$226,$A18,'Line Items'!$C$2:$C$226,$B18)</f>
        <v>14</v>
      </c>
      <c r="D18" s="14" t="n">
        <f aca="false">SUMIFS('Line Items'!$I$2:$I$226,'Line Items'!$A$2:$A$226,$A18,'Line Items'!$C$2:$C$226,$B18)</f>
        <v>173</v>
      </c>
      <c r="E18" s="7" t="n">
        <f aca="false">ROUND(SUMIFS('Line Items'!$S$2:$S$226,'Line Items'!$A$2:$A$226,$A18,'Line Items'!$C$2:$C$226,$B18),2)</f>
        <v>33338</v>
      </c>
      <c r="F18" s="4" t="n">
        <v>33338</v>
      </c>
      <c r="G18" s="7" t="n">
        <f aca="false">ROUND(SUMIFS('Line Items'!$M$2:$M$226,'Line Items'!$A$2:$A$226,$A18,'Line Items'!$C$2:$C$226,$B18),2)</f>
        <v>16951.52</v>
      </c>
      <c r="H18" s="4" t="n">
        <v>16951.52</v>
      </c>
      <c r="I18" s="7" t="n">
        <f aca="false">ROUND(E18-F18,2)</f>
        <v>0</v>
      </c>
      <c r="J18" s="7" t="n">
        <f aca="false">ROUND(G18-H18,2)</f>
        <v>0</v>
      </c>
      <c r="K18" s="8" t="str">
        <f aca="false">IF(AND(ABS(I18)&lt;0.02,ABS(J18)&lt;0.02),"YES","CHECK")</f>
        <v>YES</v>
      </c>
    </row>
    <row r="19" customFormat="false" ht="15" hidden="false" customHeight="false" outlineLevel="0" collapsed="false">
      <c r="A19" s="2" t="s">
        <v>285</v>
      </c>
      <c r="B19" s="3" t="s">
        <v>468</v>
      </c>
      <c r="C19" s="14" t="n">
        <f aca="false">COUNTIFS('Line Items'!$A$2:$A$226,$A19,'Line Items'!$C$2:$C$226,$B19)</f>
        <v>9</v>
      </c>
      <c r="D19" s="14" t="n">
        <f aca="false">SUMIFS('Line Items'!$I$2:$I$226,'Line Items'!$A$2:$A$226,$A19,'Line Items'!$C$2:$C$226,$B19)</f>
        <v>54</v>
      </c>
      <c r="E19" s="7" t="n">
        <f aca="false">ROUND(SUMIFS('Line Items'!$S$2:$S$226,'Line Items'!$A$2:$A$226,$A19,'Line Items'!$C$2:$C$226,$B19),2)</f>
        <v>4859</v>
      </c>
      <c r="F19" s="4" t="n">
        <v>4859</v>
      </c>
      <c r="G19" s="7" t="n">
        <f aca="false">ROUND(SUMIFS('Line Items'!$M$2:$M$226,'Line Items'!$A$2:$A$226,$A19,'Line Items'!$C$2:$C$226,$B19),2)</f>
        <v>2553.05</v>
      </c>
      <c r="H19" s="4" t="n">
        <v>2553.05</v>
      </c>
      <c r="I19" s="7" t="n">
        <f aca="false">ROUND(E19-F19,2)</f>
        <v>0</v>
      </c>
      <c r="J19" s="7" t="n">
        <f aca="false">ROUND(G19-H19,2)</f>
        <v>0</v>
      </c>
      <c r="K19" s="8" t="str">
        <f aca="false">IF(AND(ABS(I19)&lt;0.02,ABS(J19)&lt;0.02),"YES","CHECK")</f>
        <v>YES</v>
      </c>
    </row>
    <row r="20" customFormat="false" ht="15" hidden="false" customHeight="false" outlineLevel="0" collapsed="false">
      <c r="A20" s="2" t="s">
        <v>285</v>
      </c>
      <c r="B20" s="3" t="s">
        <v>488</v>
      </c>
      <c r="C20" s="14" t="n">
        <f aca="false">COUNTIFS('Line Items'!$A$2:$A$226,$A20,'Line Items'!$C$2:$C$226,$B20)</f>
        <v>8</v>
      </c>
      <c r="D20" s="14" t="n">
        <f aca="false">SUMIFS('Line Items'!$I$2:$I$226,'Line Items'!$A$2:$A$226,$A20,'Line Items'!$C$2:$C$226,$B20)</f>
        <v>34</v>
      </c>
      <c r="E20" s="7" t="n">
        <f aca="false">ROUND(SUMIFS('Line Items'!$S$2:$S$226,'Line Items'!$A$2:$A$226,$A20,'Line Items'!$C$2:$C$226,$B20),2)</f>
        <v>9959</v>
      </c>
      <c r="F20" s="4" t="n">
        <v>9959</v>
      </c>
      <c r="G20" s="7" t="n">
        <f aca="false">ROUND(SUMIFS('Line Items'!$M$2:$M$226,'Line Items'!$A$2:$A$226,$A20,'Line Items'!$C$2:$C$226,$B20),2)</f>
        <v>4641.9</v>
      </c>
      <c r="H20" s="4" t="n">
        <v>4641.9</v>
      </c>
      <c r="I20" s="7" t="n">
        <f aca="false">ROUND(E20-F20,2)</f>
        <v>0</v>
      </c>
      <c r="J20" s="7" t="n">
        <f aca="false">ROUND(G20-H20,2)</f>
        <v>0</v>
      </c>
      <c r="K20" s="8" t="str">
        <f aca="false">IF(AND(ABS(I20)&lt;0.02,ABS(J20)&lt;0.02),"YES","CHECK")</f>
        <v>YES</v>
      </c>
    </row>
    <row r="21" customFormat="false" ht="15" hidden="false" customHeight="false" outlineLevel="0" collapsed="false">
      <c r="A21" s="2" t="s">
        <v>285</v>
      </c>
      <c r="B21" s="3" t="s">
        <v>505</v>
      </c>
      <c r="C21" s="14" t="n">
        <f aca="false">COUNTIFS('Line Items'!$A$2:$A$226,$A21,'Line Items'!$C$2:$C$226,$B21)</f>
        <v>1</v>
      </c>
      <c r="D21" s="14" t="n">
        <f aca="false">SUMIFS('Line Items'!$I$2:$I$226,'Line Items'!$A$2:$A$226,$A21,'Line Items'!$C$2:$C$226,$B21)</f>
        <v>10</v>
      </c>
      <c r="E21" s="7" t="n">
        <f aca="false">ROUND(SUMIFS('Line Items'!$S$2:$S$226,'Line Items'!$A$2:$A$226,$A21,'Line Items'!$C$2:$C$226,$B21),2)</f>
        <v>1050</v>
      </c>
      <c r="F21" s="4" t="n">
        <v>1050</v>
      </c>
      <c r="G21" s="7" t="n">
        <f aca="false">ROUND(SUMIFS('Line Items'!$M$2:$M$226,'Line Items'!$A$2:$A$226,$A21,'Line Items'!$C$2:$C$226,$B21),2)</f>
        <v>889.83</v>
      </c>
      <c r="H21" s="4" t="n">
        <v>889.83</v>
      </c>
      <c r="I21" s="7" t="n">
        <f aca="false">ROUND(E21-F21,2)</f>
        <v>0</v>
      </c>
      <c r="J21" s="7" t="n">
        <f aca="false">ROUND(G21-H21,2)</f>
        <v>0</v>
      </c>
      <c r="K21" s="8" t="str">
        <f aca="false">IF(AND(ABS(I21)&lt;0.02,ABS(J21)&lt;0.02),"YES","CHECK")</f>
        <v>YES</v>
      </c>
    </row>
    <row r="22" customFormat="false" ht="15" hidden="false" customHeight="false" outlineLevel="0" collapsed="false">
      <c r="B22" s="9" t="s">
        <v>532</v>
      </c>
      <c r="C22" s="10" t="n">
        <f aca="false">SUM(C4:C21)</f>
        <v>225</v>
      </c>
      <c r="D22" s="10" t="n">
        <f aca="false">SUM(D4:D21)</f>
        <v>1791</v>
      </c>
      <c r="E22" s="11" t="n">
        <f aca="false">SUM(E4:E21)</f>
        <v>344978.7</v>
      </c>
      <c r="F22" s="11" t="n">
        <f aca="false">SUM(F4:F21)</f>
        <v>344978.7</v>
      </c>
      <c r="G22" s="11" t="n">
        <f aca="false">SUM(G4:G21)</f>
        <v>184505.24</v>
      </c>
      <c r="H22" s="11" t="n">
        <f aca="false">SUM(H4:H21)</f>
        <v>184505.24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8"/>
  </cols>
  <sheetData>
    <row r="1" customFormat="false" ht="16.15" hidden="false" customHeight="false" outlineLevel="0" collapsed="false">
      <c r="B1" s="15" t="s">
        <v>541</v>
      </c>
    </row>
    <row r="2" customFormat="false" ht="15" hidden="false" customHeight="false" outlineLevel="0" collapsed="false">
      <c r="B2" s="16"/>
    </row>
    <row r="3" customFormat="false" ht="15" hidden="false" customHeight="false" outlineLevel="0" collapsed="false">
      <c r="B3" s="17" t="s">
        <v>542</v>
      </c>
    </row>
    <row r="4" customFormat="false" ht="15" hidden="false" customHeight="false" outlineLevel="0" collapsed="false">
      <c r="B4" s="16" t="s">
        <v>543</v>
      </c>
    </row>
    <row r="5" customFormat="false" ht="15" hidden="false" customHeight="false" outlineLevel="0" collapsed="false">
      <c r="B5" s="16" t="s">
        <v>544</v>
      </c>
    </row>
    <row r="6" customFormat="false" ht="15" hidden="false" customHeight="false" outlineLevel="0" collapsed="false">
      <c r="B6" s="16" t="s">
        <v>545</v>
      </c>
    </row>
    <row r="7" customFormat="false" ht="15" hidden="false" customHeight="false" outlineLevel="0" collapsed="false">
      <c r="B7" s="16" t="s">
        <v>546</v>
      </c>
    </row>
    <row r="8" customFormat="false" ht="15" hidden="false" customHeight="false" outlineLevel="0" collapsed="false">
      <c r="B8" s="16" t="s">
        <v>547</v>
      </c>
    </row>
    <row r="9" customFormat="false" ht="15" hidden="false" customHeight="false" outlineLevel="0" collapsed="false">
      <c r="B9" s="16" t="s">
        <v>548</v>
      </c>
    </row>
    <row r="10" customFormat="false" ht="15" hidden="false" customHeight="false" outlineLevel="0" collapsed="false">
      <c r="B10" s="16"/>
    </row>
    <row r="11" customFormat="false" ht="15" hidden="false" customHeight="false" outlineLevel="0" collapsed="false">
      <c r="B11" s="17" t="s">
        <v>549</v>
      </c>
    </row>
    <row r="12" customFormat="false" ht="15" hidden="false" customHeight="false" outlineLevel="0" collapsed="false">
      <c r="B12" s="18" t="s">
        <v>550</v>
      </c>
    </row>
    <row r="13" customFormat="false" ht="15" hidden="false" customHeight="false" outlineLevel="0" collapsed="false">
      <c r="B13" s="16" t="s">
        <v>551</v>
      </c>
    </row>
    <row r="14" customFormat="false" ht="15" hidden="false" customHeight="false" outlineLevel="0" collapsed="false">
      <c r="B14" s="16" t="s">
        <v>552</v>
      </c>
    </row>
    <row r="15" customFormat="false" ht="15" hidden="false" customHeight="false" outlineLevel="0" collapsed="false">
      <c r="B15" s="16"/>
    </row>
    <row r="16" customFormat="false" ht="15" hidden="false" customHeight="false" outlineLevel="0" collapsed="false">
      <c r="B16" s="17" t="s">
        <v>553</v>
      </c>
    </row>
    <row r="17" customFormat="false" ht="15" hidden="false" customHeight="false" outlineLevel="0" collapsed="false">
      <c r="B17" s="16" t="s">
        <v>554</v>
      </c>
    </row>
    <row r="18" customFormat="false" ht="15" hidden="false" customHeight="false" outlineLevel="0" collapsed="false">
      <c r="B18" s="16" t="s">
        <v>555</v>
      </c>
    </row>
    <row r="19" customFormat="false" ht="15" hidden="false" customHeight="false" outlineLevel="0" collapsed="false">
      <c r="B19" s="16" t="s">
        <v>556</v>
      </c>
    </row>
    <row r="20" customFormat="false" ht="15" hidden="false" customHeight="false" outlineLevel="0" collapsed="false">
      <c r="B20" s="16" t="s">
        <v>557</v>
      </c>
    </row>
    <row r="21" customFormat="false" ht="15" hidden="false" customHeight="false" outlineLevel="0" collapsed="false">
      <c r="B21" s="16" t="s">
        <v>558</v>
      </c>
    </row>
    <row r="22" customFormat="false" ht="15" hidden="false" customHeight="false" outlineLevel="0" collapsed="false">
      <c r="B22" s="16" t="s">
        <v>559</v>
      </c>
    </row>
    <row r="23" customFormat="false" ht="15" hidden="false" customHeight="false" outlineLevel="0" collapsed="false">
      <c r="B23" s="16" t="s">
        <v>560</v>
      </c>
    </row>
    <row r="24" customFormat="false" ht="15" hidden="false" customHeight="false" outlineLevel="0" collapsed="false">
      <c r="B24" s="16"/>
    </row>
    <row r="25" customFormat="false" ht="15" hidden="false" customHeight="false" outlineLevel="0" collapsed="false">
      <c r="B25" s="17" t="s">
        <v>561</v>
      </c>
    </row>
    <row r="26" customFormat="false" ht="15" hidden="false" customHeight="false" outlineLevel="0" collapsed="false">
      <c r="B26" s="19" t="s">
        <v>562</v>
      </c>
    </row>
    <row r="27" customFormat="false" ht="15" hidden="false" customHeight="false" outlineLevel="0" collapsed="false">
      <c r="B27" s="16" t="s">
        <v>563</v>
      </c>
    </row>
    <row r="28" customFormat="false" ht="15" hidden="false" customHeight="false" outlineLevel="0" collapsed="false">
      <c r="B28" s="19" t="s">
        <v>564</v>
      </c>
    </row>
    <row r="29" customFormat="false" ht="15" hidden="false" customHeight="false" outlineLevel="0" collapsed="false">
      <c r="B29" s="16" t="s">
        <v>565</v>
      </c>
    </row>
    <row r="30" customFormat="false" ht="15" hidden="false" customHeight="false" outlineLevel="0" collapsed="false">
      <c r="B30" s="16"/>
    </row>
    <row r="31" customFormat="false" ht="15" hidden="false" customHeight="false" outlineLevel="0" collapsed="false">
      <c r="B31" s="17" t="s">
        <v>566</v>
      </c>
    </row>
    <row r="32" customFormat="false" ht="15" hidden="false" customHeight="false" outlineLevel="0" collapsed="false">
      <c r="B32" s="16" t="s">
        <v>567</v>
      </c>
    </row>
    <row r="33" customFormat="false" ht="15" hidden="false" customHeight="false" outlineLevel="0" collapsed="false">
      <c r="B33" s="16" t="s">
        <v>568</v>
      </c>
    </row>
    <row r="34" customFormat="false" ht="15" hidden="false" customHeight="false" outlineLevel="0" collapsed="false">
      <c r="B34" s="16" t="s">
        <v>569</v>
      </c>
    </row>
    <row r="35" customFormat="false" ht="15" hidden="false" customHeight="false" outlineLevel="0" collapsed="false">
      <c r="B35" s="16" t="s">
        <v>570</v>
      </c>
    </row>
    <row r="36" customFormat="false" ht="15" hidden="false" customHeight="false" outlineLevel="0" collapsed="false">
      <c r="B36" s="16" t="s">
        <v>571</v>
      </c>
    </row>
    <row r="37" customFormat="false" ht="15" hidden="false" customHeight="false" outlineLevel="0" collapsed="false">
      <c r="B37" s="16"/>
    </row>
    <row r="38" customFormat="false" ht="15" hidden="false" customHeight="false" outlineLevel="0" collapsed="false">
      <c r="B38" s="17" t="s">
        <v>572</v>
      </c>
    </row>
    <row r="39" customFormat="false" ht="15" hidden="false" customHeight="false" outlineLevel="0" collapsed="false">
      <c r="B39" s="16" t="s">
        <v>573</v>
      </c>
    </row>
    <row r="40" customFormat="false" ht="15" hidden="false" customHeight="false" outlineLevel="0" collapsed="false">
      <c r="B40" s="16" t="s">
        <v>574</v>
      </c>
    </row>
    <row r="41" customFormat="false" ht="15" hidden="false" customHeight="false" outlineLevel="0" collapsed="false">
      <c r="B41" s="16" t="s">
        <v>575</v>
      </c>
    </row>
    <row r="42" customFormat="false" ht="15" hidden="false" customHeight="false" outlineLevel="0" collapsed="false">
      <c r="B42" s="16" t="s">
        <v>576</v>
      </c>
    </row>
    <row r="43" customFormat="false" ht="15" hidden="false" customHeight="false" outlineLevel="0" collapsed="false">
      <c r="B43" s="16" t="s">
        <v>577</v>
      </c>
    </row>
    <row r="44" customFormat="false" ht="15" hidden="false" customHeight="false" outlineLevel="0" collapsed="false">
      <c r="B44" s="16" t="s">
        <v>578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2026-08-31T17:27:26Z</dcterms:created>
  <dc:creator>openpyxl</dc:creator>
  <dc:description/>
  <dc:language>en-US</dc:language>
  <cp:lastModifiedBy/>
  <dcterms:modified xsi:type="dcterms:W3CDTF">2026-08-31T17:27:26Z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