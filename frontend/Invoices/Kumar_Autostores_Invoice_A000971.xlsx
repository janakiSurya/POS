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Items" sheetId="1" state="visible" r:id="rId3"/>
    <sheet name="Summary" sheetId="2" state="visible" r:id="rId4"/>
  </sheets>
  <definedNames>
    <definedName function="false" hidden="true" localSheetId="0" name="_xlnm._FilterDatabase" vbProcedure="false">'Line Items'!$A$4:$S$19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<sst xmlns="http://schemas.openxmlformats.org/spreadsheetml/2006/main" count="160" uniqueCount="128">
  <si>
    <t xml:space="preserve">KUMAR AUTOSTORES  —  Tax Invoice (Credit) No. A000971  —  Dated 30/05/2026</t>
  </si>
  <si>
    <t xml:space="preserve">Buyer: M/s SRI SRI SATYA SAI AUTMOBILE AG, Tadepalligudem 534101  |  Blue text = value printed on the invoice  |  Black text = calculated by formula</t>
  </si>
  <si>
    <t xml:space="preserve">S.No</t>
  </si>
  <si>
    <t xml:space="preserve">Brand</t>
  </si>
  <si>
    <t xml:space="preserve">Item Code</t>
  </si>
  <si>
    <t xml:space="preserve">Description</t>
  </si>
  <si>
    <t xml:space="preserve">HSN</t>
  </si>
  <si>
    <t xml:space="preserve">MRP (₹)</t>
  </si>
  <si>
    <t xml:space="preserve">Disc 1</t>
  </si>
  <si>
    <t xml:space="preserve">Disc 2</t>
  </si>
  <si>
    <t xml:space="preserve">Net Rate (₹) printed</t>
  </si>
  <si>
    <t xml:space="preserve">Net Rate (₹) exact</t>
  </si>
  <si>
    <t xml:space="preserve">Qty</t>
  </si>
  <si>
    <t xml:space="preserve">Line Amt incl. GST (₹)</t>
  </si>
  <si>
    <t xml:space="preserve">GST %</t>
  </si>
  <si>
    <t xml:space="preserve">Taxable Value (₹) printed</t>
  </si>
  <si>
    <t xml:space="preserve">Taxable Value (₹) recalc</t>
  </si>
  <si>
    <t xml:space="preserve">Diff</t>
  </si>
  <si>
    <t xml:space="preserve">GST Amount (₹)</t>
  </si>
  <si>
    <t xml:space="preserve">Line Total (₹)</t>
  </si>
  <si>
    <t xml:space="preserve">Notes</t>
  </si>
  <si>
    <t xml:space="preserve">CAMP</t>
  </si>
  <si>
    <t xml:space="preserve">CA04-SR-102</t>
  </si>
  <si>
    <t xml:space="preserve">SEAT RUBBER SPL TRP-65</t>
  </si>
  <si>
    <t xml:space="preserve">40169330</t>
  </si>
  <si>
    <t xml:space="preserve">MICO</t>
  </si>
  <si>
    <t xml:space="preserve">U4A</t>
  </si>
  <si>
    <t xml:space="preserve">MICO PULG HH</t>
  </si>
  <si>
    <t xml:space="preserve">87141090</t>
  </si>
  <si>
    <t xml:space="preserve">S.No obscured by pen mark in scan</t>
  </si>
  <si>
    <t xml:space="preserve">NV</t>
  </si>
  <si>
    <t xml:space="preserve">NAJ213</t>
  </si>
  <si>
    <t xml:space="preserve">SPRING BRAKE SHOE REAR HH</t>
  </si>
  <si>
    <t xml:space="preserve">SAI</t>
  </si>
  <si>
    <t xml:space="preserve">SAI-433</t>
  </si>
  <si>
    <t xml:space="preserve">HL VISOR TWISTER BLK</t>
  </si>
  <si>
    <t xml:space="preserve">SAI-333</t>
  </si>
  <si>
    <t xml:space="preserve">RC  TWISTER GREY</t>
  </si>
  <si>
    <t xml:space="preserve">SAI-202</t>
  </si>
  <si>
    <t xml:space="preserve">RC ( OF 6) GLM NM SPORTS RED</t>
  </si>
  <si>
    <t xml:space="preserve">SAI-211</t>
  </si>
  <si>
    <t xml:space="preserve">SC  GLM NM BLK W RED STI</t>
  </si>
  <si>
    <t xml:space="preserve">SAI-308A</t>
  </si>
  <si>
    <t xml:space="preserve">T.P.F.C  GLM NM (TYPE-2) BLK W RED STI</t>
  </si>
  <si>
    <t xml:space="preserve">SAI-440</t>
  </si>
  <si>
    <t xml:space="preserve">T.P.F.C  GLM LST NM (TYPE-6 ) BLK W RED STI</t>
  </si>
  <si>
    <t xml:space="preserve">SILVERUP</t>
  </si>
  <si>
    <t xml:space="preserve">UN-00025</t>
  </si>
  <si>
    <t xml:space="preserve">BOLT NUT 10X25</t>
  </si>
  <si>
    <t xml:space="preserve">85122010</t>
  </si>
  <si>
    <t xml:space="preserve">UN-10018</t>
  </si>
  <si>
    <t xml:space="preserve">BOLT NUT 10X18</t>
  </si>
  <si>
    <t xml:space="preserve">HH-80001</t>
  </si>
  <si>
    <t xml:space="preserve">BRAKE SHOES SPRING SPLENDER</t>
  </si>
  <si>
    <t xml:space="preserve">SLD</t>
  </si>
  <si>
    <t xml:space="preserve">SLD-110</t>
  </si>
  <si>
    <t xml:space="preserve">IGNITION SWITCH SPLENDOR PLUS</t>
  </si>
  <si>
    <t xml:space="preserve">83012000</t>
  </si>
  <si>
    <t xml:space="preserve">SLD-178</t>
  </si>
  <si>
    <t xml:space="preserve">IGNITION SWITCH PASSION PLUS</t>
  </si>
  <si>
    <t xml:space="preserve">UNITECH 18%</t>
  </si>
  <si>
    <t xml:space="preserve">UT-27</t>
  </si>
  <si>
    <t xml:space="preserve">T L BRACKET SPLENDOR</t>
  </si>
  <si>
    <t xml:space="preserve">TOTAL</t>
  </si>
  <si>
    <t xml:space="preserve">15 line items across 7 brands</t>
  </si>
  <si>
    <t xml:space="preserve">•  Source: scanned tax invoice A000971 dated 30/05/2026 from Kumar Autostores (single page), transcribed by reading the page image at high resolution.</t>
  </si>
  <si>
    <t xml:space="preserve">•  The invoice's 'Unit Rate' is the MRP after Disc 1, and it is GST-inclusive. Taxable Value on the invoice = Unit Rate × Qty ÷ 1.18.</t>
  </si>
  <si>
    <t xml:space="preserve">•  'Net Rate exact' recomputes the rate as MRP × (1−Disc 1) × (1−Disc 2) without rounding. All 106 lines reconcile to the printed Taxable Value to the paisa on this basis.</t>
  </si>
  <si>
    <t xml:space="preserve">•  Two lines print a rate rounded to 2 dp: S.No 10 (2.65 vs exact 2.6455) and S.No 12 (1.93 vs exact 1.925), both fasteners at qty 50–100. Their printed Taxable Values are correct; the exact-rate column reproduces them.</t>
  </si>
  <si>
    <t xml:space="preserve">•  The 'Diff' column should read 0.00 on every line. Any non-zero value flags a transcription error to check against the scan.</t>
  </si>
  <si>
    <t xml:space="preserve">•  Sum of the printed Taxable Values is 10,355.28 against the invoice's printed Sub Total of 10,355.31 — a 0.03 rounding drift in the supplier's own software, not a transcription error. Total Qty (458) and the Grand Total (12,219.00) both reconcile exactly. Note the Round off on this invoice is negative (−0.25).</t>
  </si>
  <si>
    <t xml:space="preserve">Invoice Summary</t>
  </si>
  <si>
    <t xml:space="preserve">Supplier</t>
  </si>
  <si>
    <t xml:space="preserve">KUMAR AUTOSTORES</t>
  </si>
  <si>
    <t xml:space="preserve">Supplier address</t>
  </si>
  <si>
    <t xml:space="preserve">4-1-18/1, Keerthi Sadan, G P Road, Vijaya Lakshmi Talkies Back Side, Bhimavaram, West Godavari, Andhra Pradesh</t>
  </si>
  <si>
    <t xml:space="preserve">Supplier GSTIN</t>
  </si>
  <si>
    <t xml:space="preserve">37AITPG4383P1ZB</t>
  </si>
  <si>
    <t xml:space="preserve">Supplier phone / e-mail</t>
  </si>
  <si>
    <t xml:space="preserve">9397111911  |  kumar224632@gmail.com</t>
  </si>
  <si>
    <t xml:space="preserve">Document type</t>
  </si>
  <si>
    <t xml:space="preserve">Tax Invoice — Credit</t>
  </si>
  <si>
    <t xml:space="preserve">Invoice no.</t>
  </si>
  <si>
    <t xml:space="preserve">A000971</t>
  </si>
  <si>
    <t xml:space="preserve">Invoice date</t>
  </si>
  <si>
    <t xml:space="preserve">30/05/2026</t>
  </si>
  <si>
    <t xml:space="preserve">Buyer</t>
  </si>
  <si>
    <t xml:space="preserve">M/s SRI SRI SATYA SAI AUTMOBILE AG</t>
  </si>
  <si>
    <t xml:space="preserve">Buyer address</t>
  </si>
  <si>
    <t xml:space="preserve">Tadepalligudem 2-12-27/1, Railway Station Road, Tadepalligudem – 534101</t>
  </si>
  <si>
    <t xml:space="preserve">Buyer GSTIN</t>
  </si>
  <si>
    <t xml:space="preserve">37CUJPG4763K1Z5</t>
  </si>
  <si>
    <t xml:space="preserve">Buyer phone</t>
  </si>
  <si>
    <t xml:space="preserve">9848725117</t>
  </si>
  <si>
    <t xml:space="preserve">Billed by</t>
  </si>
  <si>
    <t xml:space="preserve">HARI</t>
  </si>
  <si>
    <t xml:space="preserve">W.No &amp; Dt</t>
  </si>
  <si>
    <t xml:space="preserve">Bank</t>
  </si>
  <si>
    <t xml:space="preserve">Bank of Baroda, Bhimavaram — A/c 08360400000167, IFSC BARB0BHIMAV</t>
  </si>
  <si>
    <t xml:space="preserve">Invoice totals</t>
  </si>
  <si>
    <t xml:space="preserve">Calculated</t>
  </si>
  <si>
    <t xml:space="preserve">Printed on invoice</t>
  </si>
  <si>
    <t xml:space="preserve">Basis</t>
  </si>
  <si>
    <t xml:space="preserve">Sub Total (taxable value)</t>
  </si>
  <si>
    <t xml:space="preserve">Sum of printed line taxable values</t>
  </si>
  <si>
    <t xml:space="preserve">SGST @ 9%</t>
  </si>
  <si>
    <t xml:space="preserve">State GST</t>
  </si>
  <si>
    <t xml:space="preserve">CGST @ 9%</t>
  </si>
  <si>
    <t xml:space="preserve">Central GST</t>
  </si>
  <si>
    <t xml:space="preserve">Total GST @ 18%</t>
  </si>
  <si>
    <t xml:space="preserve">SGST + CGST</t>
  </si>
  <si>
    <t xml:space="preserve">Add / Less</t>
  </si>
  <si>
    <t xml:space="preserve">Per invoice</t>
  </si>
  <si>
    <t xml:space="preserve">Round off +/−</t>
  </si>
  <si>
    <t xml:space="preserve">GRAND TOTAL</t>
  </si>
  <si>
    <t xml:space="preserve">Rs. Twelve Thousand Two Hundred and Nineteen only</t>
  </si>
  <si>
    <t xml:space="preserve">Total Qty</t>
  </si>
  <si>
    <t xml:space="preserve">Brand-wise breakdown</t>
  </si>
  <si>
    <t xml:space="preserve">Lines</t>
  </si>
  <si>
    <t xml:space="preserve">Gross (MRP×Qty)</t>
  </si>
  <si>
    <t xml:space="preserve">Gross printed</t>
  </si>
  <si>
    <t xml:space="preserve">Net (rate×Qty)</t>
  </si>
  <si>
    <t xml:space="preserve">Net printed</t>
  </si>
  <si>
    <t xml:space="preserve">Taxable value</t>
  </si>
  <si>
    <t xml:space="preserve">•  All 7 brand Gross and Net figures reconcile exactly to the sub-total lines printed under each brand block on the invoice.</t>
  </si>
  <si>
    <t xml:space="preserve">•  'Gross printed' and 'Net printed' are the Gross/Net figures typed under each brand block on the invoice. The adjacent calculated columns are formulas over the Line Items sheet.</t>
  </si>
  <si>
    <t xml:space="preserve">•  GST is 18% on every line, so the invoice's single GST class (SGST 9% + CGST 9%) applies throughout.</t>
  </si>
  <si>
    <t xml:space="preserve">•  MICO is billed at only 5% Disc 1 — far below the 28–45% on the rest of this invoice. Worth confirming that rate with the supplier.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</si>
</sst>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12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16" min="16" style="0" width="9"/>
    <col collapsed="false" customWidth="true" hidden="false" outlineLevel="0" max="18" min="17" style="0" width="13"/>
    <col collapsed="false" customWidth="true" hidden="false" outlineLevel="0" max="19" min="19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n">
        <v>1</v>
      </c>
      <c r="B5" s="5" t="s">
        <v>21</v>
      </c>
      <c r="C5" s="5" t="s">
        <v>22</v>
      </c>
      <c r="D5" s="5" t="s">
        <v>23</v>
      </c>
      <c r="E5" s="6" t="s">
        <v>24</v>
      </c>
      <c r="F5" s="7" t="n">
        <v>3.2</v>
      </c>
      <c r="G5" s="8" t="n">
        <v>0.45</v>
      </c>
      <c r="H5" s="8" t="n">
        <v>0</v>
      </c>
      <c r="I5" s="7" t="n">
        <v>1.76</v>
      </c>
      <c r="J5" s="9" t="n">
        <f aca="false">F5*(1-G5)*(1-H5)</f>
        <v>1.76</v>
      </c>
      <c r="K5" s="4" t="n">
        <v>100</v>
      </c>
      <c r="L5" s="9" t="n">
        <f aca="false">J5*K5</f>
        <v>176</v>
      </c>
      <c r="M5" s="8" t="n">
        <v>0.18</v>
      </c>
      <c r="N5" s="7" t="n">
        <v>149.15</v>
      </c>
      <c r="O5" s="9" t="n">
        <f aca="false">ROUND(L5/(1+M5),2)</f>
        <v>149.15</v>
      </c>
      <c r="P5" s="9" t="n">
        <f aca="false">O5-N5</f>
        <v>0</v>
      </c>
      <c r="Q5" s="9" t="n">
        <f aca="false">ROUND(N5*M5,2)</f>
        <v>26.85</v>
      </c>
      <c r="R5" s="9" t="n">
        <f aca="false">N5+Q5</f>
        <v>176</v>
      </c>
      <c r="S5" s="10"/>
    </row>
    <row r="6" customFormat="false" ht="15" hidden="false" customHeight="false" outlineLevel="0" collapsed="false">
      <c r="A6" s="11" t="n">
        <v>2</v>
      </c>
      <c r="B6" s="12" t="s">
        <v>25</v>
      </c>
      <c r="C6" s="12" t="s">
        <v>26</v>
      </c>
      <c r="D6" s="12" t="s">
        <v>27</v>
      </c>
      <c r="E6" s="13" t="s">
        <v>28</v>
      </c>
      <c r="F6" s="14" t="n">
        <v>60</v>
      </c>
      <c r="G6" s="15" t="n">
        <v>0.05</v>
      </c>
      <c r="H6" s="15" t="n">
        <v>0</v>
      </c>
      <c r="I6" s="14" t="n">
        <v>57</v>
      </c>
      <c r="J6" s="16" t="n">
        <f aca="false">F6*(1-G6)*(1-H6)</f>
        <v>57</v>
      </c>
      <c r="K6" s="11" t="n">
        <v>30</v>
      </c>
      <c r="L6" s="16" t="n">
        <f aca="false">J6*K6</f>
        <v>1710</v>
      </c>
      <c r="M6" s="15" t="n">
        <v>0.18</v>
      </c>
      <c r="N6" s="14" t="n">
        <v>1449.15</v>
      </c>
      <c r="O6" s="16" t="n">
        <f aca="false">ROUND(L6/(1+M6),2)</f>
        <v>1449.15</v>
      </c>
      <c r="P6" s="16" t="n">
        <f aca="false">O6-N6</f>
        <v>0</v>
      </c>
      <c r="Q6" s="16" t="n">
        <f aca="false">ROUND(N6*M6,2)</f>
        <v>260.85</v>
      </c>
      <c r="R6" s="16" t="n">
        <f aca="false">N6+Q6</f>
        <v>1710</v>
      </c>
      <c r="S6" s="17" t="s">
        <v>29</v>
      </c>
    </row>
    <row r="7" customFormat="false" ht="15" hidden="false" customHeight="false" outlineLevel="0" collapsed="false">
      <c r="A7" s="11" t="n">
        <v>3</v>
      </c>
      <c r="B7" s="12" t="s">
        <v>30</v>
      </c>
      <c r="C7" s="12" t="s">
        <v>31</v>
      </c>
      <c r="D7" s="12" t="s">
        <v>32</v>
      </c>
      <c r="E7" s="13" t="s">
        <v>24</v>
      </c>
      <c r="F7" s="14" t="n">
        <v>7</v>
      </c>
      <c r="G7" s="15" t="n">
        <v>0.43</v>
      </c>
      <c r="H7" s="15" t="n">
        <v>0</v>
      </c>
      <c r="I7" s="14" t="n">
        <v>3.99</v>
      </c>
      <c r="J7" s="16" t="n">
        <f aca="false">F7*(1-G7)*(1-H7)</f>
        <v>3.99</v>
      </c>
      <c r="K7" s="11" t="n">
        <v>50</v>
      </c>
      <c r="L7" s="16" t="n">
        <f aca="false">J7*K7</f>
        <v>199.5</v>
      </c>
      <c r="M7" s="15" t="n">
        <v>0.18</v>
      </c>
      <c r="N7" s="14" t="n">
        <v>169.07</v>
      </c>
      <c r="O7" s="16" t="n">
        <f aca="false">ROUND(L7/(1+M7),2)</f>
        <v>169.07</v>
      </c>
      <c r="P7" s="16" t="n">
        <f aca="false">O7-N7</f>
        <v>0</v>
      </c>
      <c r="Q7" s="16" t="n">
        <f aca="false">ROUND(N7*M7,2)</f>
        <v>30.43</v>
      </c>
      <c r="R7" s="16" t="n">
        <f aca="false">N7+Q7</f>
        <v>199.5</v>
      </c>
      <c r="S7" s="17"/>
    </row>
    <row r="8" customFormat="false" ht="15" hidden="false" customHeight="false" outlineLevel="0" collapsed="false">
      <c r="A8" s="11" t="n">
        <v>4</v>
      </c>
      <c r="B8" s="12" t="s">
        <v>33</v>
      </c>
      <c r="C8" s="12" t="s">
        <v>34</v>
      </c>
      <c r="D8" s="12" t="s">
        <v>35</v>
      </c>
      <c r="E8" s="13" t="s">
        <v>28</v>
      </c>
      <c r="F8" s="14" t="n">
        <v>745</v>
      </c>
      <c r="G8" s="15" t="n">
        <v>0.38</v>
      </c>
      <c r="H8" s="15" t="n">
        <v>0</v>
      </c>
      <c r="I8" s="14" t="n">
        <v>461.9</v>
      </c>
      <c r="J8" s="16" t="n">
        <f aca="false">F8*(1-G8)*(1-H8)</f>
        <v>461.9</v>
      </c>
      <c r="K8" s="11" t="n">
        <v>2</v>
      </c>
      <c r="L8" s="16" t="n">
        <f aca="false">J8*K8</f>
        <v>923.8</v>
      </c>
      <c r="M8" s="15" t="n">
        <v>0.18</v>
      </c>
      <c r="N8" s="14" t="n">
        <v>782.88</v>
      </c>
      <c r="O8" s="16" t="n">
        <f aca="false">ROUND(L8/(1+M8),2)</f>
        <v>782.88</v>
      </c>
      <c r="P8" s="16" t="n">
        <f aca="false">O8-N8</f>
        <v>0</v>
      </c>
      <c r="Q8" s="16" t="n">
        <f aca="false">ROUND(N8*M8,2)</f>
        <v>140.92</v>
      </c>
      <c r="R8" s="16" t="n">
        <f aca="false">N8+Q8</f>
        <v>923.8</v>
      </c>
      <c r="S8" s="17"/>
    </row>
    <row r="9" customFormat="false" ht="15" hidden="false" customHeight="false" outlineLevel="0" collapsed="false">
      <c r="A9" s="4" t="n">
        <v>5</v>
      </c>
      <c r="B9" s="5" t="s">
        <v>33</v>
      </c>
      <c r="C9" s="5" t="s">
        <v>36</v>
      </c>
      <c r="D9" s="5" t="s">
        <v>37</v>
      </c>
      <c r="E9" s="6" t="s">
        <v>28</v>
      </c>
      <c r="F9" s="7" t="n">
        <v>840</v>
      </c>
      <c r="G9" s="8" t="n">
        <v>0.38</v>
      </c>
      <c r="H9" s="8" t="n">
        <v>0</v>
      </c>
      <c r="I9" s="7" t="n">
        <v>520.8</v>
      </c>
      <c r="J9" s="9" t="n">
        <f aca="false">F9*(1-G9)*(1-H9)</f>
        <v>520.8</v>
      </c>
      <c r="K9" s="4" t="n">
        <v>1</v>
      </c>
      <c r="L9" s="9" t="n">
        <f aca="false">J9*K9</f>
        <v>520.8</v>
      </c>
      <c r="M9" s="8" t="n">
        <v>0.18</v>
      </c>
      <c r="N9" s="7" t="n">
        <v>441.36</v>
      </c>
      <c r="O9" s="9" t="n">
        <f aca="false">ROUND(L9/(1+M9),2)</f>
        <v>441.36</v>
      </c>
      <c r="P9" s="9" t="n">
        <f aca="false">O9-N9</f>
        <v>0</v>
      </c>
      <c r="Q9" s="9" t="n">
        <f aca="false">ROUND(N9*M9,2)</f>
        <v>79.44</v>
      </c>
      <c r="R9" s="9" t="n">
        <f aca="false">N9+Q9</f>
        <v>520.8</v>
      </c>
      <c r="S9" s="10"/>
    </row>
    <row r="10" customFormat="false" ht="15" hidden="false" customHeight="false" outlineLevel="0" collapsed="false">
      <c r="A10" s="4" t="n">
        <v>6</v>
      </c>
      <c r="B10" s="5" t="s">
        <v>33</v>
      </c>
      <c r="C10" s="5" t="s">
        <v>38</v>
      </c>
      <c r="D10" s="5" t="s">
        <v>39</v>
      </c>
      <c r="E10" s="6" t="s">
        <v>28</v>
      </c>
      <c r="F10" s="7" t="n">
        <v>1005</v>
      </c>
      <c r="G10" s="8" t="n">
        <v>0.38</v>
      </c>
      <c r="H10" s="8" t="n">
        <v>0</v>
      </c>
      <c r="I10" s="7" t="n">
        <v>623.1</v>
      </c>
      <c r="J10" s="9" t="n">
        <f aca="false">F10*(1-G10)*(1-H10)</f>
        <v>623.1</v>
      </c>
      <c r="K10" s="4" t="n">
        <v>2</v>
      </c>
      <c r="L10" s="9" t="n">
        <f aca="false">J10*K10</f>
        <v>1246.2</v>
      </c>
      <c r="M10" s="8" t="n">
        <v>0.18</v>
      </c>
      <c r="N10" s="7" t="n">
        <v>1056.1</v>
      </c>
      <c r="O10" s="9" t="n">
        <f aca="false">ROUND(L10/(1+M10),2)</f>
        <v>1056.1</v>
      </c>
      <c r="P10" s="9" t="n">
        <f aca="false">O10-N10</f>
        <v>0</v>
      </c>
      <c r="Q10" s="9" t="n">
        <f aca="false">ROUND(N10*M10,2)</f>
        <v>190.1</v>
      </c>
      <c r="R10" s="9" t="n">
        <f aca="false">N10+Q10</f>
        <v>1246.2</v>
      </c>
      <c r="S10" s="10"/>
    </row>
    <row r="11" customFormat="false" ht="15" hidden="false" customHeight="false" outlineLevel="0" collapsed="false">
      <c r="A11" s="4" t="n">
        <v>7</v>
      </c>
      <c r="B11" s="5" t="s">
        <v>33</v>
      </c>
      <c r="C11" s="5" t="s">
        <v>40</v>
      </c>
      <c r="D11" s="5" t="s">
        <v>41</v>
      </c>
      <c r="E11" s="6" t="s">
        <v>28</v>
      </c>
      <c r="F11" s="7" t="n">
        <v>740</v>
      </c>
      <c r="G11" s="8" t="n">
        <v>0.38</v>
      </c>
      <c r="H11" s="8" t="n">
        <v>0</v>
      </c>
      <c r="I11" s="7" t="n">
        <v>458.8</v>
      </c>
      <c r="J11" s="9" t="n">
        <f aca="false">F11*(1-G11)*(1-H11)</f>
        <v>458.8</v>
      </c>
      <c r="K11" s="4" t="n">
        <v>3</v>
      </c>
      <c r="L11" s="9" t="n">
        <f aca="false">J11*K11</f>
        <v>1376.4</v>
      </c>
      <c r="M11" s="8" t="n">
        <v>0.18</v>
      </c>
      <c r="N11" s="7" t="n">
        <v>1166.44</v>
      </c>
      <c r="O11" s="9" t="n">
        <f aca="false">ROUND(L11/(1+M11),2)</f>
        <v>1166.44</v>
      </c>
      <c r="P11" s="9" t="n">
        <f aca="false">O11-N11</f>
        <v>0</v>
      </c>
      <c r="Q11" s="9" t="n">
        <f aca="false">ROUND(N11*M11,2)</f>
        <v>209.96</v>
      </c>
      <c r="R11" s="9" t="n">
        <f aca="false">N11+Q11</f>
        <v>1376.4</v>
      </c>
      <c r="S11" s="10"/>
    </row>
    <row r="12" customFormat="false" ht="15" hidden="false" customHeight="false" outlineLevel="0" collapsed="false">
      <c r="A12" s="4" t="n">
        <v>8</v>
      </c>
      <c r="B12" s="5" t="s">
        <v>33</v>
      </c>
      <c r="C12" s="5" t="s">
        <v>42</v>
      </c>
      <c r="D12" s="5" t="s">
        <v>43</v>
      </c>
      <c r="E12" s="6" t="s">
        <v>28</v>
      </c>
      <c r="F12" s="7" t="n">
        <v>570</v>
      </c>
      <c r="G12" s="8" t="n">
        <v>0.38</v>
      </c>
      <c r="H12" s="8" t="n">
        <v>0</v>
      </c>
      <c r="I12" s="7" t="n">
        <v>353.4</v>
      </c>
      <c r="J12" s="9" t="n">
        <f aca="false">F12*(1-G12)*(1-H12)</f>
        <v>353.4</v>
      </c>
      <c r="K12" s="4" t="n">
        <v>2</v>
      </c>
      <c r="L12" s="9" t="n">
        <f aca="false">J12*K12</f>
        <v>706.8</v>
      </c>
      <c r="M12" s="8" t="n">
        <v>0.18</v>
      </c>
      <c r="N12" s="7" t="n">
        <v>598.98</v>
      </c>
      <c r="O12" s="9" t="n">
        <f aca="false">ROUND(L12/(1+M12),2)</f>
        <v>598.98</v>
      </c>
      <c r="P12" s="9" t="n">
        <f aca="false">O12-N12</f>
        <v>0</v>
      </c>
      <c r="Q12" s="9" t="n">
        <f aca="false">ROUND(N12*M12,2)</f>
        <v>107.82</v>
      </c>
      <c r="R12" s="9" t="n">
        <f aca="false">N12+Q12</f>
        <v>706.8</v>
      </c>
      <c r="S12" s="10"/>
    </row>
    <row r="13" customFormat="false" ht="15" hidden="false" customHeight="false" outlineLevel="0" collapsed="false">
      <c r="A13" s="4" t="n">
        <v>9</v>
      </c>
      <c r="B13" s="5" t="s">
        <v>33</v>
      </c>
      <c r="C13" s="5" t="s">
        <v>44</v>
      </c>
      <c r="D13" s="5" t="s">
        <v>45</v>
      </c>
      <c r="E13" s="6" t="s">
        <v>28</v>
      </c>
      <c r="F13" s="7" t="n">
        <v>730</v>
      </c>
      <c r="G13" s="8" t="n">
        <v>0.38</v>
      </c>
      <c r="H13" s="8" t="n">
        <v>0</v>
      </c>
      <c r="I13" s="7" t="n">
        <v>452.6</v>
      </c>
      <c r="J13" s="9" t="n">
        <f aca="false">F13*(1-G13)*(1-H13)</f>
        <v>452.6</v>
      </c>
      <c r="K13" s="4" t="n">
        <v>3</v>
      </c>
      <c r="L13" s="9" t="n">
        <f aca="false">J13*K13</f>
        <v>1357.8</v>
      </c>
      <c r="M13" s="8" t="n">
        <v>0.18</v>
      </c>
      <c r="N13" s="7" t="n">
        <v>1150.68</v>
      </c>
      <c r="O13" s="9" t="n">
        <f aca="false">ROUND(L13/(1+M13),2)</f>
        <v>1150.68</v>
      </c>
      <c r="P13" s="9" t="n">
        <f aca="false">O13-N13</f>
        <v>0</v>
      </c>
      <c r="Q13" s="9" t="n">
        <f aca="false">ROUND(N13*M13,2)</f>
        <v>207.12</v>
      </c>
      <c r="R13" s="9" t="n">
        <f aca="false">N13+Q13</f>
        <v>1357.8</v>
      </c>
      <c r="S13" s="10"/>
    </row>
    <row r="14" customFormat="false" ht="15" hidden="false" customHeight="false" outlineLevel="0" collapsed="false">
      <c r="A14" s="11" t="n">
        <v>10</v>
      </c>
      <c r="B14" s="12" t="s">
        <v>46</v>
      </c>
      <c r="C14" s="12" t="s">
        <v>47</v>
      </c>
      <c r="D14" s="12" t="s">
        <v>48</v>
      </c>
      <c r="E14" s="13" t="s">
        <v>49</v>
      </c>
      <c r="F14" s="14" t="n">
        <v>4.81</v>
      </c>
      <c r="G14" s="15" t="n">
        <v>0.45</v>
      </c>
      <c r="H14" s="15" t="n">
        <v>0</v>
      </c>
      <c r="I14" s="14" t="n">
        <v>2.65</v>
      </c>
      <c r="J14" s="16" t="n">
        <f aca="false">F14*(1-G14)*(1-H14)</f>
        <v>2.6455</v>
      </c>
      <c r="K14" s="11" t="n">
        <v>100</v>
      </c>
      <c r="L14" s="16" t="n">
        <f aca="false">J14*K14</f>
        <v>264.55</v>
      </c>
      <c r="M14" s="15" t="n">
        <v>0.18</v>
      </c>
      <c r="N14" s="14" t="n">
        <v>224.19</v>
      </c>
      <c r="O14" s="16" t="n">
        <f aca="false">ROUND(L14/(1+M14),2)</f>
        <v>224.19</v>
      </c>
      <c r="P14" s="16" t="n">
        <f aca="false">O14-N14</f>
        <v>0</v>
      </c>
      <c r="Q14" s="16" t="n">
        <f aca="false">ROUND(N14*M14,2)</f>
        <v>40.35</v>
      </c>
      <c r="R14" s="16" t="n">
        <f aca="false">N14+Q14</f>
        <v>264.54</v>
      </c>
      <c r="S14" s="17"/>
    </row>
    <row r="15" customFormat="false" ht="15" hidden="false" customHeight="false" outlineLevel="0" collapsed="false">
      <c r="A15" s="4" t="n">
        <v>11</v>
      </c>
      <c r="B15" s="5" t="s">
        <v>46</v>
      </c>
      <c r="C15" s="5" t="s">
        <v>50</v>
      </c>
      <c r="D15" s="5" t="s">
        <v>51</v>
      </c>
      <c r="E15" s="6" t="s">
        <v>28</v>
      </c>
      <c r="F15" s="7" t="n">
        <v>4.2</v>
      </c>
      <c r="G15" s="8" t="n">
        <v>0.45</v>
      </c>
      <c r="H15" s="8" t="n">
        <v>0</v>
      </c>
      <c r="I15" s="7" t="n">
        <v>2.31</v>
      </c>
      <c r="J15" s="9" t="n">
        <f aca="false">F15*(1-G15)*(1-H15)</f>
        <v>2.31</v>
      </c>
      <c r="K15" s="4" t="n">
        <v>100</v>
      </c>
      <c r="L15" s="9" t="n">
        <f aca="false">J15*K15</f>
        <v>231</v>
      </c>
      <c r="M15" s="8" t="n">
        <v>0.18</v>
      </c>
      <c r="N15" s="7" t="n">
        <v>195.76</v>
      </c>
      <c r="O15" s="9" t="n">
        <f aca="false">ROUND(L15/(1+M15),2)</f>
        <v>195.76</v>
      </c>
      <c r="P15" s="9" t="n">
        <f aca="false">O15-N15</f>
        <v>0</v>
      </c>
      <c r="Q15" s="9" t="n">
        <f aca="false">ROUND(N15*M15,2)</f>
        <v>35.24</v>
      </c>
      <c r="R15" s="9" t="n">
        <f aca="false">N15+Q15</f>
        <v>231</v>
      </c>
      <c r="S15" s="10"/>
    </row>
    <row r="16" customFormat="false" ht="15" hidden="false" customHeight="false" outlineLevel="0" collapsed="false">
      <c r="A16" s="4" t="n">
        <v>12</v>
      </c>
      <c r="B16" s="5" t="s">
        <v>46</v>
      </c>
      <c r="C16" s="5" t="s">
        <v>52</v>
      </c>
      <c r="D16" s="5" t="s">
        <v>53</v>
      </c>
      <c r="E16" s="6" t="s">
        <v>49</v>
      </c>
      <c r="F16" s="7" t="n">
        <v>3.5</v>
      </c>
      <c r="G16" s="8" t="n">
        <v>0.45</v>
      </c>
      <c r="H16" s="8" t="n">
        <v>0</v>
      </c>
      <c r="I16" s="7" t="n">
        <v>1.93</v>
      </c>
      <c r="J16" s="9" t="n">
        <f aca="false">F16*(1-G16)*(1-H16)</f>
        <v>1.925</v>
      </c>
      <c r="K16" s="4" t="n">
        <v>50</v>
      </c>
      <c r="L16" s="9" t="n">
        <f aca="false">J16*K16</f>
        <v>96.25</v>
      </c>
      <c r="M16" s="8" t="n">
        <v>0.18</v>
      </c>
      <c r="N16" s="7" t="n">
        <v>81.57</v>
      </c>
      <c r="O16" s="9" t="n">
        <f aca="false">ROUND(L16/(1+M16),2)</f>
        <v>81.57</v>
      </c>
      <c r="P16" s="9" t="n">
        <f aca="false">O16-N16</f>
        <v>0</v>
      </c>
      <c r="Q16" s="9" t="n">
        <f aca="false">ROUND(N16*M16,2)</f>
        <v>14.68</v>
      </c>
      <c r="R16" s="9" t="n">
        <f aca="false">N16+Q16</f>
        <v>96.25</v>
      </c>
      <c r="S16" s="10"/>
    </row>
    <row r="17" customFormat="false" ht="15" hidden="false" customHeight="false" outlineLevel="0" collapsed="false">
      <c r="A17" s="11" t="n">
        <v>13</v>
      </c>
      <c r="B17" s="12" t="s">
        <v>54</v>
      </c>
      <c r="C17" s="12" t="s">
        <v>55</v>
      </c>
      <c r="D17" s="12" t="s">
        <v>56</v>
      </c>
      <c r="E17" s="13" t="s">
        <v>57</v>
      </c>
      <c r="F17" s="14" t="n">
        <v>454</v>
      </c>
      <c r="G17" s="15" t="n">
        <v>0.35</v>
      </c>
      <c r="H17" s="15" t="n">
        <v>0</v>
      </c>
      <c r="I17" s="14" t="n">
        <v>295.1</v>
      </c>
      <c r="J17" s="16" t="n">
        <f aca="false">F17*(1-G17)*(1-H17)</f>
        <v>295.1</v>
      </c>
      <c r="K17" s="11" t="n">
        <v>5</v>
      </c>
      <c r="L17" s="16" t="n">
        <f aca="false">J17*K17</f>
        <v>1475.5</v>
      </c>
      <c r="M17" s="15" t="n">
        <v>0.18</v>
      </c>
      <c r="N17" s="14" t="n">
        <v>1250.42</v>
      </c>
      <c r="O17" s="16" t="n">
        <f aca="false">ROUND(L17/(1+M17),2)</f>
        <v>1250.42</v>
      </c>
      <c r="P17" s="16" t="n">
        <f aca="false">O17-N17</f>
        <v>0</v>
      </c>
      <c r="Q17" s="16" t="n">
        <f aca="false">ROUND(N17*M17,2)</f>
        <v>225.08</v>
      </c>
      <c r="R17" s="16" t="n">
        <f aca="false">N17+Q17</f>
        <v>1475.5</v>
      </c>
      <c r="S17" s="17"/>
    </row>
    <row r="18" customFormat="false" ht="15" hidden="false" customHeight="false" outlineLevel="0" collapsed="false">
      <c r="A18" s="4" t="n">
        <v>14</v>
      </c>
      <c r="B18" s="5" t="s">
        <v>54</v>
      </c>
      <c r="C18" s="5" t="s">
        <v>58</v>
      </c>
      <c r="D18" s="5" t="s">
        <v>59</v>
      </c>
      <c r="E18" s="6" t="s">
        <v>57</v>
      </c>
      <c r="F18" s="7" t="n">
        <v>541</v>
      </c>
      <c r="G18" s="8" t="n">
        <v>0.35</v>
      </c>
      <c r="H18" s="8" t="n">
        <v>0</v>
      </c>
      <c r="I18" s="7" t="n">
        <v>351.65</v>
      </c>
      <c r="J18" s="9" t="n">
        <f aca="false">F18*(1-G18)*(1-H18)</f>
        <v>351.65</v>
      </c>
      <c r="K18" s="4" t="n">
        <v>5</v>
      </c>
      <c r="L18" s="9" t="n">
        <f aca="false">J18*K18</f>
        <v>1758.25</v>
      </c>
      <c r="M18" s="8" t="n">
        <v>0.18</v>
      </c>
      <c r="N18" s="7" t="n">
        <v>1490.04</v>
      </c>
      <c r="O18" s="9" t="n">
        <f aca="false">ROUND(L18/(1+M18),2)</f>
        <v>1490.04</v>
      </c>
      <c r="P18" s="9" t="n">
        <f aca="false">O18-N18</f>
        <v>0</v>
      </c>
      <c r="Q18" s="9" t="n">
        <f aca="false">ROUND(N18*M18,2)</f>
        <v>268.21</v>
      </c>
      <c r="R18" s="9" t="n">
        <f aca="false">N18+Q18</f>
        <v>1758.25</v>
      </c>
      <c r="S18" s="10"/>
    </row>
    <row r="19" customFormat="false" ht="15" hidden="false" customHeight="false" outlineLevel="0" collapsed="false">
      <c r="A19" s="11" t="n">
        <v>15</v>
      </c>
      <c r="B19" s="12" t="s">
        <v>60</v>
      </c>
      <c r="C19" s="12" t="s">
        <v>61</v>
      </c>
      <c r="D19" s="12" t="s">
        <v>62</v>
      </c>
      <c r="E19" s="13" t="s">
        <v>49</v>
      </c>
      <c r="F19" s="14" t="n">
        <v>49</v>
      </c>
      <c r="G19" s="15" t="n">
        <v>0.28</v>
      </c>
      <c r="H19" s="15" t="n">
        <v>0</v>
      </c>
      <c r="I19" s="14" t="n">
        <v>35.28</v>
      </c>
      <c r="J19" s="16" t="n">
        <f aca="false">F19*(1-G19)*(1-H19)</f>
        <v>35.28</v>
      </c>
      <c r="K19" s="11" t="n">
        <v>5</v>
      </c>
      <c r="L19" s="16" t="n">
        <f aca="false">J19*K19</f>
        <v>176.4</v>
      </c>
      <c r="M19" s="15" t="n">
        <v>0.18</v>
      </c>
      <c r="N19" s="14" t="n">
        <v>149.49</v>
      </c>
      <c r="O19" s="16" t="n">
        <f aca="false">ROUND(L19/(1+M19),2)</f>
        <v>149.49</v>
      </c>
      <c r="P19" s="16" t="n">
        <f aca="false">O19-N19</f>
        <v>0</v>
      </c>
      <c r="Q19" s="16" t="n">
        <f aca="false">ROUND(N19*M19,2)</f>
        <v>26.91</v>
      </c>
      <c r="R19" s="16" t="n">
        <f aca="false">N19+Q19</f>
        <v>176.4</v>
      </c>
      <c r="S19" s="17"/>
    </row>
    <row r="20" customFormat="false" ht="15" hidden="false" customHeight="false" outlineLevel="0" collapsed="false">
      <c r="A20" s="18" t="s">
        <v>63</v>
      </c>
      <c r="B20" s="19"/>
      <c r="C20" s="19"/>
      <c r="D20" s="18" t="s">
        <v>64</v>
      </c>
      <c r="E20" s="19"/>
      <c r="F20" s="19"/>
      <c r="G20" s="19"/>
      <c r="H20" s="19"/>
      <c r="I20" s="19"/>
      <c r="J20" s="19"/>
      <c r="K20" s="20" t="n">
        <f aca="false">SUM(K5:K19)</f>
        <v>458</v>
      </c>
      <c r="L20" s="21" t="n">
        <f aca="false">SUM(L5:L19)</f>
        <v>12219.25</v>
      </c>
      <c r="M20" s="19"/>
      <c r="N20" s="21" t="n">
        <f aca="false">SUM(N5:N19)</f>
        <v>10355.28</v>
      </c>
      <c r="O20" s="21" t="n">
        <f aca="false">SUM(O5:O19)</f>
        <v>10355.28</v>
      </c>
      <c r="P20" s="21" t="n">
        <f aca="false">SUM(P5:P19)</f>
        <v>0</v>
      </c>
      <c r="Q20" s="21" t="n">
        <f aca="false">SUM(Q5:Q19)</f>
        <v>1863.96</v>
      </c>
      <c r="R20" s="21" t="n">
        <f aca="false">SUM(R5:R19)</f>
        <v>12219.24</v>
      </c>
      <c r="S20" s="19"/>
    </row>
    <row r="22" customFormat="false" ht="15" hidden="false" customHeight="false" outlineLevel="0" collapsed="false">
      <c r="A22" s="22" t="s">
        <v>20</v>
      </c>
    </row>
    <row r="23" customFormat="false" ht="25.5" hidden="false" customHeight="true" outlineLevel="0" collapsed="false">
      <c r="A23" s="23" t="s">
        <v>65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customFormat="false" ht="25.5" hidden="false" customHeight="true" outlineLevel="0" collapsed="false">
      <c r="A24" s="23" t="s">
        <v>66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customFormat="false" ht="25.5" hidden="false" customHeight="true" outlineLevel="0" collapsed="false">
      <c r="A25" s="23" t="s">
        <v>67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customFormat="false" ht="25.5" hidden="false" customHeight="true" outlineLevel="0" collapsed="false">
      <c r="A26" s="23" t="s">
        <v>68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customFormat="false" ht="25.5" hidden="false" customHeight="true" outlineLevel="0" collapsed="false">
      <c r="A27" s="23" t="s">
        <v>69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customFormat="false" ht="25.5" hidden="false" customHeight="true" outlineLevel="0" collapsed="false">
      <c r="A28" s="23" t="s">
        <v>70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</sheetData>
  <autoFilter ref="A4:S19"/>
  <mergeCells count="6">
    <mergeCell ref="A23:S23"/>
    <mergeCell ref="A24:S24"/>
    <mergeCell ref="A25:S25"/>
    <mergeCell ref="A26:S26"/>
    <mergeCell ref="A27:S27"/>
    <mergeCell ref="A28:S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8" min="3" style="0" width="15"/>
  </cols>
  <sheetData>
    <row r="1" customFormat="false" ht="16.15" hidden="false" customHeight="false" outlineLevel="0" collapsed="false">
      <c r="A1" s="1" t="s">
        <v>71</v>
      </c>
    </row>
    <row r="3" customFormat="false" ht="15" hidden="false" customHeight="true" outlineLevel="0" collapsed="false">
      <c r="A3" s="22" t="s">
        <v>72</v>
      </c>
      <c r="B3" s="24" t="s">
        <v>73</v>
      </c>
      <c r="C3" s="24"/>
      <c r="D3" s="24"/>
      <c r="E3" s="24"/>
      <c r="F3" s="24"/>
    </row>
    <row r="4" customFormat="false" ht="23.85" hidden="false" customHeight="true" outlineLevel="0" collapsed="false">
      <c r="A4" s="22" t="s">
        <v>74</v>
      </c>
      <c r="B4" s="24" t="s">
        <v>75</v>
      </c>
      <c r="C4" s="24"/>
      <c r="D4" s="24"/>
      <c r="E4" s="24"/>
      <c r="F4" s="24"/>
    </row>
    <row r="5" customFormat="false" ht="15" hidden="false" customHeight="true" outlineLevel="0" collapsed="false">
      <c r="A5" s="22" t="s">
        <v>76</v>
      </c>
      <c r="B5" s="24" t="s">
        <v>77</v>
      </c>
      <c r="C5" s="24"/>
      <c r="D5" s="24"/>
      <c r="E5" s="24"/>
      <c r="F5" s="24"/>
    </row>
    <row r="6" customFormat="false" ht="15" hidden="false" customHeight="true" outlineLevel="0" collapsed="false">
      <c r="A6" s="22" t="s">
        <v>78</v>
      </c>
      <c r="B6" s="24" t="s">
        <v>79</v>
      </c>
      <c r="C6" s="24"/>
      <c r="D6" s="24"/>
      <c r="E6" s="24"/>
      <c r="F6" s="24"/>
    </row>
    <row r="7" customFormat="false" ht="15" hidden="false" customHeight="true" outlineLevel="0" collapsed="false">
      <c r="A7" s="22" t="s">
        <v>80</v>
      </c>
      <c r="B7" s="24" t="s">
        <v>81</v>
      </c>
      <c r="C7" s="24"/>
      <c r="D7" s="24"/>
      <c r="E7" s="24"/>
      <c r="F7" s="24"/>
    </row>
    <row r="8" customFormat="false" ht="15" hidden="false" customHeight="true" outlineLevel="0" collapsed="false">
      <c r="A8" s="22" t="s">
        <v>82</v>
      </c>
      <c r="B8" s="24" t="s">
        <v>83</v>
      </c>
      <c r="C8" s="24"/>
      <c r="D8" s="24"/>
      <c r="E8" s="24"/>
      <c r="F8" s="24"/>
    </row>
    <row r="9" customFormat="false" ht="15" hidden="false" customHeight="true" outlineLevel="0" collapsed="false">
      <c r="A9" s="22" t="s">
        <v>84</v>
      </c>
      <c r="B9" s="24" t="s">
        <v>85</v>
      </c>
      <c r="C9" s="24"/>
      <c r="D9" s="24"/>
      <c r="E9" s="24"/>
      <c r="F9" s="24"/>
    </row>
    <row r="10" customFormat="false" ht="15" hidden="false" customHeight="true" outlineLevel="0" collapsed="false">
      <c r="A10" s="22" t="s">
        <v>86</v>
      </c>
      <c r="B10" s="24" t="s">
        <v>87</v>
      </c>
      <c r="C10" s="24"/>
      <c r="D10" s="24"/>
      <c r="E10" s="24"/>
      <c r="F10" s="24"/>
    </row>
    <row r="11" customFormat="false" ht="15" hidden="false" customHeight="true" outlineLevel="0" collapsed="false">
      <c r="A11" s="22" t="s">
        <v>88</v>
      </c>
      <c r="B11" s="24" t="s">
        <v>89</v>
      </c>
      <c r="C11" s="24"/>
      <c r="D11" s="24"/>
      <c r="E11" s="24"/>
      <c r="F11" s="24"/>
    </row>
    <row r="12" customFormat="false" ht="15" hidden="false" customHeight="true" outlineLevel="0" collapsed="false">
      <c r="A12" s="22" t="s">
        <v>90</v>
      </c>
      <c r="B12" s="24" t="s">
        <v>91</v>
      </c>
      <c r="C12" s="24"/>
      <c r="D12" s="24"/>
      <c r="E12" s="24"/>
      <c r="F12" s="24"/>
    </row>
    <row r="13" customFormat="false" ht="15" hidden="false" customHeight="true" outlineLevel="0" collapsed="false">
      <c r="A13" s="22" t="s">
        <v>92</v>
      </c>
      <c r="B13" s="24" t="s">
        <v>93</v>
      </c>
      <c r="C13" s="24"/>
      <c r="D13" s="24"/>
      <c r="E13" s="24"/>
      <c r="F13" s="24"/>
    </row>
    <row r="14" customFormat="false" ht="15" hidden="false" customHeight="true" outlineLevel="0" collapsed="false">
      <c r="A14" s="22" t="s">
        <v>94</v>
      </c>
      <c r="B14" s="24" t="s">
        <v>95</v>
      </c>
      <c r="C14" s="24"/>
      <c r="D14" s="24"/>
      <c r="E14" s="24"/>
      <c r="F14" s="24"/>
    </row>
    <row r="15" customFormat="false" ht="15" hidden="false" customHeight="true" outlineLevel="0" collapsed="false">
      <c r="A15" s="22" t="s">
        <v>96</v>
      </c>
      <c r="B15" s="24" t="s">
        <v>85</v>
      </c>
      <c r="C15" s="24"/>
      <c r="D15" s="24"/>
      <c r="E15" s="24"/>
      <c r="F15" s="24"/>
    </row>
    <row r="16" customFormat="false" ht="15" hidden="false" customHeight="true" outlineLevel="0" collapsed="false">
      <c r="A16" s="22" t="s">
        <v>97</v>
      </c>
      <c r="B16" s="24" t="s">
        <v>98</v>
      </c>
      <c r="C16" s="24"/>
      <c r="D16" s="24"/>
      <c r="E16" s="24"/>
      <c r="F16" s="24"/>
    </row>
    <row r="19" customFormat="false" ht="15" hidden="false" customHeight="false" outlineLevel="0" collapsed="false">
      <c r="A19" s="25" t="s">
        <v>99</v>
      </c>
      <c r="C19" s="25" t="s">
        <v>100</v>
      </c>
      <c r="D19" s="25" t="s">
        <v>101</v>
      </c>
      <c r="E19" s="25" t="s">
        <v>102</v>
      </c>
    </row>
    <row r="20" customFormat="false" ht="15" hidden="false" customHeight="false" outlineLevel="0" collapsed="false">
      <c r="A20" s="26" t="s">
        <v>103</v>
      </c>
      <c r="C20" s="9" t="n">
        <f aca="false">SUM('Line Items'!N5:N19)</f>
        <v>10355.28</v>
      </c>
      <c r="D20" s="7" t="n">
        <v>10355.31</v>
      </c>
      <c r="E20" s="27" t="s">
        <v>104</v>
      </c>
    </row>
    <row r="21" customFormat="false" ht="15" hidden="false" customHeight="false" outlineLevel="0" collapsed="false">
      <c r="A21" s="26" t="s">
        <v>105</v>
      </c>
      <c r="C21" s="9" t="n">
        <f aca="false">ROUND(C20*0.09,2)</f>
        <v>931.98</v>
      </c>
      <c r="D21" s="7" t="n">
        <v>931.97</v>
      </c>
      <c r="E21" s="27" t="s">
        <v>106</v>
      </c>
    </row>
    <row r="22" customFormat="false" ht="15" hidden="false" customHeight="false" outlineLevel="0" collapsed="false">
      <c r="A22" s="26" t="s">
        <v>107</v>
      </c>
      <c r="C22" s="9" t="n">
        <f aca="false">ROUND(C20*0.09,2)</f>
        <v>931.98</v>
      </c>
      <c r="D22" s="7" t="n">
        <v>931.97</v>
      </c>
      <c r="E22" s="27" t="s">
        <v>108</v>
      </c>
    </row>
    <row r="23" customFormat="false" ht="15" hidden="false" customHeight="false" outlineLevel="0" collapsed="false">
      <c r="A23" s="26" t="s">
        <v>109</v>
      </c>
      <c r="C23" s="9" t="n">
        <f aca="false">C21+C22</f>
        <v>1863.96</v>
      </c>
      <c r="D23" s="7" t="n">
        <v>1863.94</v>
      </c>
      <c r="E23" s="27" t="s">
        <v>110</v>
      </c>
    </row>
    <row r="24" customFormat="false" ht="15" hidden="false" customHeight="false" outlineLevel="0" collapsed="false">
      <c r="A24" s="26" t="s">
        <v>111</v>
      </c>
      <c r="C24" s="7" t="n">
        <v>0</v>
      </c>
      <c r="D24" s="7" t="n">
        <v>0</v>
      </c>
      <c r="E24" s="27" t="s">
        <v>112</v>
      </c>
    </row>
    <row r="25" customFormat="false" ht="15" hidden="false" customHeight="false" outlineLevel="0" collapsed="false">
      <c r="A25" s="26" t="s">
        <v>113</v>
      </c>
      <c r="C25" s="7" t="n">
        <v>-0.25</v>
      </c>
      <c r="D25" s="7" t="n">
        <v>-0.25</v>
      </c>
      <c r="E25" s="27" t="s">
        <v>112</v>
      </c>
    </row>
    <row r="26" customFormat="false" ht="15" hidden="false" customHeight="false" outlineLevel="0" collapsed="false">
      <c r="A26" s="28" t="s">
        <v>114</v>
      </c>
      <c r="C26" s="29" t="n">
        <f aca="false">C20+C23+C24+C25</f>
        <v>12218.99</v>
      </c>
      <c r="D26" s="29" t="n">
        <v>12219</v>
      </c>
      <c r="E26" s="30" t="s">
        <v>115</v>
      </c>
    </row>
    <row r="27" customFormat="false" ht="15" hidden="false" customHeight="false" outlineLevel="0" collapsed="false">
      <c r="A27" s="22" t="s">
        <v>116</v>
      </c>
      <c r="C27" s="31" t="n">
        <f aca="false">SUM('Line Items'!K5:K19)</f>
        <v>458</v>
      </c>
      <c r="D27" s="32" t="n">
        <v>458</v>
      </c>
    </row>
    <row r="30" customFormat="false" ht="15" hidden="false" customHeight="false" outlineLevel="0" collapsed="false">
      <c r="A30" s="33" t="s">
        <v>117</v>
      </c>
    </row>
    <row r="31" customFormat="false" ht="27.75" hidden="false" customHeight="true" outlineLevel="0" collapsed="false">
      <c r="A31" s="34" t="s">
        <v>3</v>
      </c>
      <c r="B31" s="34" t="s">
        <v>118</v>
      </c>
      <c r="C31" s="34" t="s">
        <v>12</v>
      </c>
      <c r="D31" s="34" t="s">
        <v>119</v>
      </c>
      <c r="E31" s="34" t="s">
        <v>120</v>
      </c>
      <c r="F31" s="34" t="s">
        <v>121</v>
      </c>
      <c r="G31" s="34" t="s">
        <v>122</v>
      </c>
      <c r="H31" s="34" t="s">
        <v>123</v>
      </c>
    </row>
    <row r="32" customFormat="false" ht="15" hidden="false" customHeight="false" outlineLevel="0" collapsed="false">
      <c r="A32" s="5" t="s">
        <v>21</v>
      </c>
      <c r="B32" s="35" t="n">
        <f aca="false">COUNTIF('Line Items'!$B$5:$B$19,$A32)</f>
        <v>1</v>
      </c>
      <c r="C32" s="35" t="n">
        <f aca="false">SUMIF('Line Items'!$B$5:$B$19,$A32,'Line Items'!$K$5:$K$19)</f>
        <v>100</v>
      </c>
      <c r="D32" s="9" t="n">
        <f aca="false">SUMPRODUCT(('Line Items'!$B$5:$B$19=$A32)*'Line Items'!$F$5:$F$19*'Line Items'!$K$5:$K$19)</f>
        <v>320</v>
      </c>
      <c r="E32" s="7" t="n">
        <v>320</v>
      </c>
      <c r="F32" s="9" t="n">
        <f aca="false">SUMPRODUCT(('Line Items'!$B$5:$B$19=$A32)*'Line Items'!$J$5:$J$19*'Line Items'!$K$5:$K$19)</f>
        <v>176</v>
      </c>
      <c r="G32" s="7" t="n">
        <v>176</v>
      </c>
      <c r="H32" s="9" t="n">
        <f aca="false">SUMIF('Line Items'!$B$5:$B$19,$A32,'Line Items'!$N$5:$N$19)</f>
        <v>149.15</v>
      </c>
    </row>
    <row r="33" customFormat="false" ht="15" hidden="false" customHeight="false" outlineLevel="0" collapsed="false">
      <c r="A33" s="5" t="s">
        <v>25</v>
      </c>
      <c r="B33" s="35" t="n">
        <f aca="false">COUNTIF('Line Items'!$B$5:$B$19,$A33)</f>
        <v>1</v>
      </c>
      <c r="C33" s="35" t="n">
        <f aca="false">SUMIF('Line Items'!$B$5:$B$19,$A33,'Line Items'!$K$5:$K$19)</f>
        <v>30</v>
      </c>
      <c r="D33" s="9" t="n">
        <f aca="false">SUMPRODUCT(('Line Items'!$B$5:$B$19=$A33)*'Line Items'!$F$5:$F$19*'Line Items'!$K$5:$K$19)</f>
        <v>1800</v>
      </c>
      <c r="E33" s="7" t="n">
        <v>1800</v>
      </c>
      <c r="F33" s="9" t="n">
        <f aca="false">SUMPRODUCT(('Line Items'!$B$5:$B$19=$A33)*'Line Items'!$J$5:$J$19*'Line Items'!$K$5:$K$19)</f>
        <v>1710</v>
      </c>
      <c r="G33" s="7" t="n">
        <v>1710</v>
      </c>
      <c r="H33" s="9" t="n">
        <f aca="false">SUMIF('Line Items'!$B$5:$B$19,$A33,'Line Items'!$N$5:$N$19)</f>
        <v>1449.15</v>
      </c>
    </row>
    <row r="34" customFormat="false" ht="15" hidden="false" customHeight="false" outlineLevel="0" collapsed="false">
      <c r="A34" s="5" t="s">
        <v>30</v>
      </c>
      <c r="B34" s="35" t="n">
        <f aca="false">COUNTIF('Line Items'!$B$5:$B$19,$A34)</f>
        <v>1</v>
      </c>
      <c r="C34" s="35" t="n">
        <f aca="false">SUMIF('Line Items'!$B$5:$B$19,$A34,'Line Items'!$K$5:$K$19)</f>
        <v>50</v>
      </c>
      <c r="D34" s="9" t="n">
        <f aca="false">SUMPRODUCT(('Line Items'!$B$5:$B$19=$A34)*'Line Items'!$F$5:$F$19*'Line Items'!$K$5:$K$19)</f>
        <v>350</v>
      </c>
      <c r="E34" s="7" t="n">
        <v>350</v>
      </c>
      <c r="F34" s="9" t="n">
        <f aca="false">SUMPRODUCT(('Line Items'!$B$5:$B$19=$A34)*'Line Items'!$J$5:$J$19*'Line Items'!$K$5:$K$19)</f>
        <v>199.5</v>
      </c>
      <c r="G34" s="7" t="n">
        <v>199.5</v>
      </c>
      <c r="H34" s="9" t="n">
        <f aca="false">SUMIF('Line Items'!$B$5:$B$19,$A34,'Line Items'!$N$5:$N$19)</f>
        <v>169.07</v>
      </c>
    </row>
    <row r="35" customFormat="false" ht="15" hidden="false" customHeight="false" outlineLevel="0" collapsed="false">
      <c r="A35" s="5" t="s">
        <v>33</v>
      </c>
      <c r="B35" s="35" t="n">
        <f aca="false">COUNTIF('Line Items'!$B$5:$B$19,$A35)</f>
        <v>6</v>
      </c>
      <c r="C35" s="35" t="n">
        <f aca="false">SUMIF('Line Items'!$B$5:$B$19,$A35,'Line Items'!$K$5:$K$19)</f>
        <v>13</v>
      </c>
      <c r="D35" s="9" t="n">
        <f aca="false">SUMPRODUCT(('Line Items'!$B$5:$B$19=$A35)*'Line Items'!$F$5:$F$19*'Line Items'!$K$5:$K$19)</f>
        <v>9890</v>
      </c>
      <c r="E35" s="7" t="n">
        <v>9890</v>
      </c>
      <c r="F35" s="9" t="n">
        <f aca="false">SUMPRODUCT(('Line Items'!$B$5:$B$19=$A35)*'Line Items'!$J$5:$J$19*'Line Items'!$K$5:$K$19)</f>
        <v>6131.8</v>
      </c>
      <c r="G35" s="7" t="n">
        <v>6131.8</v>
      </c>
      <c r="H35" s="9" t="n">
        <f aca="false">SUMIF('Line Items'!$B$5:$B$19,$A35,'Line Items'!$N$5:$N$19)</f>
        <v>5196.44</v>
      </c>
    </row>
    <row r="36" customFormat="false" ht="15" hidden="false" customHeight="false" outlineLevel="0" collapsed="false">
      <c r="A36" s="5" t="s">
        <v>46</v>
      </c>
      <c r="B36" s="35" t="n">
        <f aca="false">COUNTIF('Line Items'!$B$5:$B$19,$A36)</f>
        <v>3</v>
      </c>
      <c r="C36" s="35" t="n">
        <f aca="false">SUMIF('Line Items'!$B$5:$B$19,$A36,'Line Items'!$K$5:$K$19)</f>
        <v>250</v>
      </c>
      <c r="D36" s="9" t="n">
        <f aca="false">SUMPRODUCT(('Line Items'!$B$5:$B$19=$A36)*'Line Items'!$F$5:$F$19*'Line Items'!$K$5:$K$19)</f>
        <v>1076</v>
      </c>
      <c r="E36" s="7" t="n">
        <v>1076</v>
      </c>
      <c r="F36" s="9" t="n">
        <f aca="false">SUMPRODUCT(('Line Items'!$B$5:$B$19=$A36)*'Line Items'!$J$5:$J$19*'Line Items'!$K$5:$K$19)</f>
        <v>591.8</v>
      </c>
      <c r="G36" s="7" t="n">
        <v>591.8</v>
      </c>
      <c r="H36" s="9" t="n">
        <f aca="false">SUMIF('Line Items'!$B$5:$B$19,$A36,'Line Items'!$N$5:$N$19)</f>
        <v>501.52</v>
      </c>
    </row>
    <row r="37" customFormat="false" ht="15" hidden="false" customHeight="false" outlineLevel="0" collapsed="false">
      <c r="A37" s="5" t="s">
        <v>54</v>
      </c>
      <c r="B37" s="35" t="n">
        <f aca="false">COUNTIF('Line Items'!$B$5:$B$19,$A37)</f>
        <v>2</v>
      </c>
      <c r="C37" s="35" t="n">
        <f aca="false">SUMIF('Line Items'!$B$5:$B$19,$A37,'Line Items'!$K$5:$K$19)</f>
        <v>10</v>
      </c>
      <c r="D37" s="9" t="n">
        <f aca="false">SUMPRODUCT(('Line Items'!$B$5:$B$19=$A37)*'Line Items'!$F$5:$F$19*'Line Items'!$K$5:$K$19)</f>
        <v>4975</v>
      </c>
      <c r="E37" s="7" t="n">
        <v>4975</v>
      </c>
      <c r="F37" s="9" t="n">
        <f aca="false">SUMPRODUCT(('Line Items'!$B$5:$B$19=$A37)*'Line Items'!$J$5:$J$19*'Line Items'!$K$5:$K$19)</f>
        <v>3233.75</v>
      </c>
      <c r="G37" s="7" t="n">
        <v>3233.75</v>
      </c>
      <c r="H37" s="9" t="n">
        <f aca="false">SUMIF('Line Items'!$B$5:$B$19,$A37,'Line Items'!$N$5:$N$19)</f>
        <v>2740.46</v>
      </c>
    </row>
    <row r="38" customFormat="false" ht="15" hidden="false" customHeight="false" outlineLevel="0" collapsed="false">
      <c r="A38" s="5" t="s">
        <v>60</v>
      </c>
      <c r="B38" s="35" t="n">
        <f aca="false">COUNTIF('Line Items'!$B$5:$B$19,$A38)</f>
        <v>1</v>
      </c>
      <c r="C38" s="35" t="n">
        <f aca="false">SUMIF('Line Items'!$B$5:$B$19,$A38,'Line Items'!$K$5:$K$19)</f>
        <v>5</v>
      </c>
      <c r="D38" s="9" t="n">
        <f aca="false">SUMPRODUCT(('Line Items'!$B$5:$B$19=$A38)*'Line Items'!$F$5:$F$19*'Line Items'!$K$5:$K$19)</f>
        <v>245</v>
      </c>
      <c r="E38" s="7" t="n">
        <v>245</v>
      </c>
      <c r="F38" s="9" t="n">
        <f aca="false">SUMPRODUCT(('Line Items'!$B$5:$B$19=$A38)*'Line Items'!$J$5:$J$19*'Line Items'!$K$5:$K$19)</f>
        <v>176.4</v>
      </c>
      <c r="G38" s="7" t="n">
        <v>176.4</v>
      </c>
      <c r="H38" s="9" t="n">
        <f aca="false">SUMIF('Line Items'!$B$5:$B$19,$A38,'Line Items'!$N$5:$N$19)</f>
        <v>149.49</v>
      </c>
    </row>
    <row r="39" customFormat="false" ht="15" hidden="false" customHeight="false" outlineLevel="0" collapsed="false">
      <c r="A39" s="18" t="s">
        <v>63</v>
      </c>
      <c r="B39" s="20" t="n">
        <f aca="false">SUM(B32:B38)</f>
        <v>15</v>
      </c>
      <c r="C39" s="20" t="n">
        <f aca="false">SUM(C32:C38)</f>
        <v>458</v>
      </c>
      <c r="D39" s="21" t="n">
        <f aca="false">SUM(D32:D38)</f>
        <v>18656</v>
      </c>
      <c r="E39" s="21" t="n">
        <f aca="false">SUM(E32:E38)</f>
        <v>18656</v>
      </c>
      <c r="F39" s="21" t="n">
        <f aca="false">SUM(F32:F38)</f>
        <v>12219.25</v>
      </c>
      <c r="G39" s="21" t="n">
        <f aca="false">SUM(G32:G38)</f>
        <v>12219.25</v>
      </c>
      <c r="H39" s="21" t="n">
        <f aca="false">SUM(H32:H38)</f>
        <v>10355.28</v>
      </c>
    </row>
    <row r="41" customFormat="false" ht="25.5" hidden="false" customHeight="true" outlineLevel="0" collapsed="false">
      <c r="A41" s="23" t="s">
        <v>124</v>
      </c>
      <c r="B41" s="23"/>
      <c r="C41" s="23"/>
      <c r="D41" s="23"/>
      <c r="E41" s="23"/>
      <c r="F41" s="23"/>
      <c r="G41" s="23"/>
      <c r="H41" s="23"/>
    </row>
    <row r="42" customFormat="false" ht="25.5" hidden="false" customHeight="true" outlineLevel="0" collapsed="false">
      <c r="A42" s="23" t="s">
        <v>125</v>
      </c>
      <c r="B42" s="23"/>
      <c r="C42" s="23"/>
      <c r="D42" s="23"/>
      <c r="E42" s="23"/>
      <c r="F42" s="23"/>
      <c r="G42" s="23"/>
      <c r="H42" s="23"/>
    </row>
    <row r="43" customFormat="false" ht="25.5" hidden="false" customHeight="true" outlineLevel="0" collapsed="false">
      <c r="A43" s="23" t="s">
        <v>126</v>
      </c>
      <c r="B43" s="23"/>
      <c r="C43" s="23"/>
      <c r="D43" s="23"/>
      <c r="E43" s="23"/>
      <c r="F43" s="23"/>
      <c r="G43" s="23"/>
      <c r="H43" s="23"/>
    </row>
    <row r="44" customFormat="false" ht="25.5" hidden="false" customHeight="true" outlineLevel="0" collapsed="false">
      <c r="A44" s="23" t="s">
        <v>127</v>
      </c>
      <c r="B44" s="23"/>
      <c r="C44" s="23"/>
      <c r="D44" s="23"/>
      <c r="E44" s="23"/>
      <c r="F44" s="23"/>
      <c r="G44" s="23"/>
      <c r="H44" s="23"/>
    </row>
  </sheetData>
  <mergeCells count="18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41:H41"/>
    <mergeCell ref="A42:H42"/>
    <mergeCell ref="A43:H43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2026-08-31T21:23:15Z</dcterms:created>
  <dc:creator>openpyxl</dc:creator>
  <dc:description/>
  <dc:language>en-US</dc:language>
  <cp:lastModifiedBy/>
  <dcterms:modified xsi:type="dcterms:W3CDTF">2026-08-31T21:23:15Z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