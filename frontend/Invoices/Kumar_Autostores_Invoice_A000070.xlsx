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Items" sheetId="1" state="visible" r:id="rId3"/>
    <sheet name="Summary" sheetId="2" state="visible" r:id="rId4"/>
  </sheets>
  <definedNames>
    <definedName function="false" hidden="true" localSheetId="0" name="_xlnm._FilterDatabase" vbProcedure="false">'Line Items'!$A$4:$S$110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<sst xmlns="http://schemas.openxmlformats.org/spreadsheetml/2006/main" count="544" uniqueCount="333">
  <si>
    <t xml:space="preserve">KUMAR AUTOSTORES  —  Tax Invoice (Credit) No. A000070  —  Dated 06/04/2026</t>
  </si>
  <si>
    <t xml:space="preserve">Buyer: M/s SRI SRI SATYA SAI AUTMOBILE AG, Tadepalligudem 534101  |  Blue text = value printed on the invoice  |  Black text = calculated by formula</t>
  </si>
  <si>
    <t xml:space="preserve">S.No</t>
  </si>
  <si>
    <t xml:space="preserve">Brand</t>
  </si>
  <si>
    <t xml:space="preserve">Item Code</t>
  </si>
  <si>
    <t xml:space="preserve">Description</t>
  </si>
  <si>
    <t xml:space="preserve">HSN</t>
  </si>
  <si>
    <t xml:space="preserve">MRP (₹)</t>
  </si>
  <si>
    <t xml:space="preserve">Disc 1</t>
  </si>
  <si>
    <t xml:space="preserve">Disc 2</t>
  </si>
  <si>
    <t xml:space="preserve">Net Rate (₹) printed</t>
  </si>
  <si>
    <t xml:space="preserve">Net Rate (₹) exact</t>
  </si>
  <si>
    <t xml:space="preserve">Qty</t>
  </si>
  <si>
    <t xml:space="preserve">Line Amt incl. GST (₹)</t>
  </si>
  <si>
    <t xml:space="preserve">GST %</t>
  </si>
  <si>
    <t xml:space="preserve">Taxable Value (₹) printed</t>
  </si>
  <si>
    <t xml:space="preserve">Taxable Value (₹) recalc</t>
  </si>
  <si>
    <t xml:space="preserve">Diff</t>
  </si>
  <si>
    <t xml:space="preserve">GST Amount (₹)</t>
  </si>
  <si>
    <t xml:space="preserve">Line Total (₹)</t>
  </si>
  <si>
    <t xml:space="preserve">Notes</t>
  </si>
  <si>
    <t xml:space="preserve">BHARATH IND</t>
  </si>
  <si>
    <t xml:space="preserve">PL-1519CU</t>
  </si>
  <si>
    <t xml:space="preserve">P PRO NM REAR UNIVERSAL IND SET</t>
  </si>
  <si>
    <t xml:space="preserve">85122010</t>
  </si>
  <si>
    <t xml:space="preserve">PL-1521SU</t>
  </si>
  <si>
    <t xml:space="preserve">SHIN IND SET WHITE</t>
  </si>
  <si>
    <t xml:space="preserve">PL-1521W</t>
  </si>
  <si>
    <t xml:space="preserve">TWISTAR IND SET REAR</t>
  </si>
  <si>
    <t xml:space="preserve">CAMP</t>
  </si>
  <si>
    <t xml:space="preserve">CA04-HW</t>
  </si>
  <si>
    <t xml:space="preserve">HNADLE PVC WEIGHT</t>
  </si>
  <si>
    <t xml:space="preserve">87141090</t>
  </si>
  <si>
    <t xml:space="preserve">CA03Y-304-RH</t>
  </si>
  <si>
    <t xml:space="preserve">RHS YOKE ASSAY XL</t>
  </si>
  <si>
    <t xml:space="preserve">CA04-SR-102</t>
  </si>
  <si>
    <t xml:space="preserve">SEAT RUBBER SPL TRP-65</t>
  </si>
  <si>
    <t xml:space="preserve">40169330</t>
  </si>
  <si>
    <t xml:space="preserve">GEANARAL</t>
  </si>
  <si>
    <t xml:space="preserve">H-01</t>
  </si>
  <si>
    <t xml:space="preserve">HEAVY 2 IN I HUG HH</t>
  </si>
  <si>
    <t xml:space="preserve">AC-114</t>
  </si>
  <si>
    <t xml:space="preserve">SEAT RING SPL BLACK</t>
  </si>
  <si>
    <t xml:space="preserve">HTA</t>
  </si>
  <si>
    <t xml:space="preserve">HTA-6305</t>
  </si>
  <si>
    <t xml:space="preserve">KICK OOL SEAL</t>
  </si>
  <si>
    <t xml:space="preserve">KING</t>
  </si>
  <si>
    <t xml:space="preserve">KQ-145</t>
  </si>
  <si>
    <t xml:space="preserve">PULSER UG4 CLUTCH YOKE</t>
  </si>
  <si>
    <t xml:space="preserve">LUMAX IND</t>
  </si>
  <si>
    <t xml:space="preserve">216-BLA-GC-UNI</t>
  </si>
  <si>
    <t xml:space="preserve">GLAMORE IND SET WHITE</t>
  </si>
  <si>
    <t xml:space="preserve">216-HLA-DT</t>
  </si>
  <si>
    <t xml:space="preserve">H L ASSY HF-DELUXE</t>
  </si>
  <si>
    <t xml:space="preserve">216-HLU-GFI-OM</t>
  </si>
  <si>
    <t xml:space="preserve">H L UNIT GLAMR FI O/M</t>
  </si>
  <si>
    <t xml:space="preserve">262-HLU-D</t>
  </si>
  <si>
    <t xml:space="preserve">HL ASSY DIO OLD</t>
  </si>
  <si>
    <t xml:space="preserve">216-HLA-SPP</t>
  </si>
  <si>
    <t xml:space="preserve">HL ASSY SPLDR PLUS</t>
  </si>
  <si>
    <t xml:space="preserve">262-HLU-DIO-NM</t>
  </si>
  <si>
    <t xml:space="preserve">HL UNIT DIO N/M</t>
  </si>
  <si>
    <t xml:space="preserve">PL-1520G</t>
  </si>
  <si>
    <t xml:space="preserve">HUNK IND SET</t>
  </si>
  <si>
    <t xml:space="preserve">TD-5012B</t>
  </si>
  <si>
    <t xml:space="preserve">PASSION PLUS IND SET</t>
  </si>
  <si>
    <t xml:space="preserve">7S10011</t>
  </si>
  <si>
    <t xml:space="preserve">PASSION PRO IND SET</t>
  </si>
  <si>
    <t xml:space="preserve">254-HLUD</t>
  </si>
  <si>
    <t xml:space="preserve">PLATINA H L ASSY</t>
  </si>
  <si>
    <t xml:space="preserve">260-TLL</t>
  </si>
  <si>
    <t xml:space="preserve">SHIN TL LENS</t>
  </si>
  <si>
    <t xml:space="preserve">216-BLA-SPR-UNI</t>
  </si>
  <si>
    <t xml:space="preserve">SPLENDER PRO IND SET</t>
  </si>
  <si>
    <t xml:space="preserve">216-BLA-SP-UNI-A</t>
  </si>
  <si>
    <t xml:space="preserve">SPLENDOR PLUS IND SET</t>
  </si>
  <si>
    <t xml:space="preserve">MINDA SPARK</t>
  </si>
  <si>
    <t xml:space="preserve">WH-1088PB</t>
  </si>
  <si>
    <t xml:space="preserve">WIRING HARNESS PLATINA ES</t>
  </si>
  <si>
    <t xml:space="preserve">85443000</t>
  </si>
  <si>
    <t xml:space="preserve">WH-1030HA</t>
  </si>
  <si>
    <t xml:space="preserve">WIRING KIT TVS XL-100 2016</t>
  </si>
  <si>
    <t xml:space="preserve">WH-1030HC</t>
  </si>
  <si>
    <t xml:space="preserve">WIRING KIT TVS XL SELF START</t>
  </si>
  <si>
    <t xml:space="preserve">WH-1030I</t>
  </si>
  <si>
    <t xml:space="preserve">WIRING KIT TVS XL-SUPER W.RED</t>
  </si>
  <si>
    <t xml:space="preserve">WH-1088PC</t>
  </si>
  <si>
    <t xml:space="preserve">WIRING KIT PLATINA 100 ES</t>
  </si>
  <si>
    <t xml:space="preserve">WH-1099UH</t>
  </si>
  <si>
    <t xml:space="preserve">WIRING KIT PULSR 150 DTSI SS</t>
  </si>
  <si>
    <t xml:space="preserve">WH-9352US</t>
  </si>
  <si>
    <t xml:space="preserve">WIRING KIT UNICORN SS DRUM</t>
  </si>
  <si>
    <t xml:space="preserve">MUD</t>
  </si>
  <si>
    <t xml:space="preserve">MUD-01</t>
  </si>
  <si>
    <t xml:space="preserve">ACTIVA F MUDCAR WHITE 3G</t>
  </si>
  <si>
    <t xml:space="preserve">NV</t>
  </si>
  <si>
    <t xml:space="preserve">NAJ552</t>
  </si>
  <si>
    <t xml:space="preserve">MONOGRAM HH SPLENDOR PLUS</t>
  </si>
  <si>
    <t xml:space="preserve">NAJ595</t>
  </si>
  <si>
    <t xml:space="preserve">SCREW KIT CLUTCH COVER HH CD100</t>
  </si>
  <si>
    <t xml:space="preserve">NV STI</t>
  </si>
  <si>
    <t xml:space="preserve">NAR360</t>
  </si>
  <si>
    <t xml:space="preserve">PULSAR 150CC UG4 (KROMEX) SET OF-4</t>
  </si>
  <si>
    <t xml:space="preserve">NJA465</t>
  </si>
  <si>
    <t xml:space="preserve">SPLD PLUS N\M 2019 BLACK GREY</t>
  </si>
  <si>
    <t xml:space="preserve">REMSONS</t>
  </si>
  <si>
    <t xml:space="preserve">2SU02AC-BS6-2</t>
  </si>
  <si>
    <t xml:space="preserve">ACCE CABLE ACESS 125 BS-6</t>
  </si>
  <si>
    <t xml:space="preserve">87149990</t>
  </si>
  <si>
    <t xml:space="preserve">2HE22CH</t>
  </si>
  <si>
    <t xml:space="preserve">CHOKE CABUL MAESTRO</t>
  </si>
  <si>
    <t xml:space="preserve">2TV27SP2</t>
  </si>
  <si>
    <t xml:space="preserve">JUPTR SM CABUL</t>
  </si>
  <si>
    <t xml:space="preserve">2HE22SP</t>
  </si>
  <si>
    <t xml:space="preserve">PLEASURE SM CABUL MAESTRO</t>
  </si>
  <si>
    <t xml:space="preserve">ROLAN</t>
  </si>
  <si>
    <t xml:space="preserve">150ML</t>
  </si>
  <si>
    <t xml:space="preserve">CHAIN SPRAY 150ML</t>
  </si>
  <si>
    <t xml:space="preserve">ROLAN BELTS</t>
  </si>
  <si>
    <t xml:space="preserve">TP096</t>
  </si>
  <si>
    <t xml:space="preserve">AIR FILTER BUL 500 SMALL</t>
  </si>
  <si>
    <t xml:space="preserve">TP097</t>
  </si>
  <si>
    <t xml:space="preserve">AIR FILTER C350 BIG PU</t>
  </si>
  <si>
    <t xml:space="preserve">84213100</t>
  </si>
  <si>
    <t xml:space="preserve">TP018</t>
  </si>
  <si>
    <t xml:space="preserve">CUSHION BUSH KIT</t>
  </si>
  <si>
    <t xml:space="preserve">SAI</t>
  </si>
  <si>
    <t xml:space="preserve">SAI-733</t>
  </si>
  <si>
    <t xml:space="preserve">FF KCC PLUS BS6 (2020) BLK</t>
  </si>
  <si>
    <t xml:space="preserve">SAI-03</t>
  </si>
  <si>
    <t xml:space="preserve">FF UNICORN BLK</t>
  </si>
  <si>
    <t xml:space="preserve">SAI-186-BP</t>
  </si>
  <si>
    <t xml:space="preserve">HL VISOR (WG) PASSION PRO DIG BLK W RED STI</t>
  </si>
  <si>
    <t xml:space="preserve">SAI-186B-BP</t>
  </si>
  <si>
    <t xml:space="preserve">HL VISOR (WG) PASSION PRO DIG BLK W GREY STI</t>
  </si>
  <si>
    <t xml:space="preserve">SAI-512</t>
  </si>
  <si>
    <t xml:space="preserve">HL VISOR (WG) CB SHINE SP BLK</t>
  </si>
  <si>
    <t xml:space="preserve">SAI-153</t>
  </si>
  <si>
    <t xml:space="preserve">HL VISOR GLASS PASSION PRO</t>
  </si>
  <si>
    <t xml:space="preserve">SAI-320</t>
  </si>
  <si>
    <t xml:space="preserve">HL VISOR GLASS PASSION PRO DIG</t>
  </si>
  <si>
    <t xml:space="preserve">SAI-442-VG</t>
  </si>
  <si>
    <t xml:space="preserve">HL VISOR GLASS PASSION PRO TYPE-3</t>
  </si>
  <si>
    <t xml:space="preserve">SAI-227B</t>
  </si>
  <si>
    <t xml:space="preserve">HL VISOR KCC PRO BLK W GREY STI</t>
  </si>
  <si>
    <t xml:space="preserve">SAI-85A-BP</t>
  </si>
  <si>
    <t xml:space="preserve">HL VISOR PASSION PLUS BLK W RED STI (BP)</t>
  </si>
  <si>
    <t xml:space="preserve">SAI-86A-BP</t>
  </si>
  <si>
    <t xml:space="preserve">HL VISOR PASSION PLUS NM BLK W RED STI (BP)</t>
  </si>
  <si>
    <t xml:space="preserve">SAI-245</t>
  </si>
  <si>
    <t xml:space="preserve">HL VISOR PLE BLK</t>
  </si>
  <si>
    <t xml:space="preserve">SAI-245A</t>
  </si>
  <si>
    <t xml:space="preserve">HL VISOR PLE RED</t>
  </si>
  <si>
    <t xml:space="preserve">SAI-245C</t>
  </si>
  <si>
    <t xml:space="preserve">HL VISOR PLE IVORY WHITE</t>
  </si>
  <si>
    <t xml:space="preserve">SAI-349</t>
  </si>
  <si>
    <t xml:space="preserve">HL VISOR PLE NM BLK</t>
  </si>
  <si>
    <t xml:space="preserve">SAI-349A</t>
  </si>
  <si>
    <t xml:space="preserve">HL VISOR PLE NM RED</t>
  </si>
  <si>
    <t xml:space="preserve">SAI-349C</t>
  </si>
  <si>
    <t xml:space="preserve">HL VISOR PLE NM IVORY WHITE</t>
  </si>
  <si>
    <t xml:space="preserve">SAI-105</t>
  </si>
  <si>
    <t xml:space="preserve">RC ( OF 3) KCC BLK</t>
  </si>
  <si>
    <t xml:space="preserve">SAI-131</t>
  </si>
  <si>
    <t xml:space="preserve">RC ( OF 3) KCC PLUS BLK (BLUE STK)</t>
  </si>
  <si>
    <t xml:space="preserve">SAI-456A</t>
  </si>
  <si>
    <t xml:space="preserve">RC ( OF 3) SMALL PLATE KCC PLUS NM BLK W SI…</t>
  </si>
  <si>
    <t xml:space="preserve">Description cut off in scan by HSN column</t>
  </si>
  <si>
    <t xml:space="preserve">SAI-712A</t>
  </si>
  <si>
    <t xml:space="preserve">RC ( OF 3) SMALL PLATE KCC PLUS BS6 (2020) B…</t>
  </si>
  <si>
    <t xml:space="preserve">SAI-175B</t>
  </si>
  <si>
    <t xml:space="preserve">RC ( OF 3) PASSION PLUS NM BLUE</t>
  </si>
  <si>
    <t xml:space="preserve">SAI-196A</t>
  </si>
  <si>
    <t xml:space="preserve">RC ( OF 3) PASSION PRO DIG BLUE</t>
  </si>
  <si>
    <t xml:space="preserve">SAI-721B</t>
  </si>
  <si>
    <t xml:space="preserve">RC ( OF 3) HF DLX BS6 (2020) BLK W SILVER STI</t>
  </si>
  <si>
    <t xml:space="preserve">SAI-721F</t>
  </si>
  <si>
    <t xml:space="preserve">RC ( OF 3) HF DLX BS6 (2020) BLK W BLUE STI</t>
  </si>
  <si>
    <t xml:space="preserve">SAI-670</t>
  </si>
  <si>
    <t xml:space="preserve">RC BACK PLATE ACT 3G PEARL WHITE</t>
  </si>
  <si>
    <t xml:space="preserve">SAI-670B</t>
  </si>
  <si>
    <t xml:space="preserve">RC BACK PLATE ACT 3G GREY</t>
  </si>
  <si>
    <t xml:space="preserve">SAI-722A</t>
  </si>
  <si>
    <t xml:space="preserve">SC HF DLX BS6 (2020) BLK W SILVER STI</t>
  </si>
  <si>
    <t xml:space="preserve">SAI-469A</t>
  </si>
  <si>
    <t xml:space="preserve">SC HF-DLX (TYPE 3) BLK W RED STI</t>
  </si>
  <si>
    <t xml:space="preserve">SAI-711A</t>
  </si>
  <si>
    <t xml:space="preserve">SC KCC PLUS BS6 (2020) BLK W SILVER STI (BC…</t>
  </si>
  <si>
    <t xml:space="preserve">SAI-176B</t>
  </si>
  <si>
    <t xml:space="preserve">SC PASSION PLUS NM BLUE (BLK STK) FOR BLK B…</t>
  </si>
  <si>
    <t xml:space="preserve">SAI SPAERS</t>
  </si>
  <si>
    <t xml:space="preserve">S108-07</t>
  </si>
  <si>
    <t xml:space="preserve">REAR F REST V BRACKET SPLENDOR</t>
  </si>
  <si>
    <t xml:space="preserve">SENIOR</t>
  </si>
  <si>
    <t xml:space="preserve">SHH-14</t>
  </si>
  <si>
    <t xml:space="preserve">ACG SEALING KIT HH</t>
  </si>
  <si>
    <t xml:space="preserve">SHH-14A</t>
  </si>
  <si>
    <t xml:space="preserve">ACG SEALING KIT PRO</t>
  </si>
  <si>
    <t xml:space="preserve">SGI GASKETS</t>
  </si>
  <si>
    <t xml:space="preserve">GL0011008</t>
  </si>
  <si>
    <t xml:space="preserve">GLAMOUR SIDE COVER GASKET</t>
  </si>
  <si>
    <t xml:space="preserve">84841090</t>
  </si>
  <si>
    <t xml:space="preserve">HHS0011001</t>
  </si>
  <si>
    <t xml:space="preserve">HH FULL SET</t>
  </si>
  <si>
    <t xml:space="preserve">HHS0011008</t>
  </si>
  <si>
    <t xml:space="preserve">HH TAPPED GASKET</t>
  </si>
  <si>
    <t xml:space="preserve">HP00011105</t>
  </si>
  <si>
    <t xml:space="preserve">PASSION PRO FULL KIT</t>
  </si>
  <si>
    <t xml:space="preserve">SIL NET</t>
  </si>
  <si>
    <t xml:space="preserve">HH-12006</t>
  </si>
  <si>
    <t xml:space="preserve">MAIN STAND KIT SPL</t>
  </si>
  <si>
    <t xml:space="preserve">SILVERUP</t>
  </si>
  <si>
    <t xml:space="preserve">UN-00435</t>
  </si>
  <si>
    <t xml:space="preserve">BOLT NUT NO.14*35</t>
  </si>
  <si>
    <t xml:space="preserve">KB-31001</t>
  </si>
  <si>
    <t xml:space="preserve">F FOOTREST RUBBER CT-100/DISCOVER 100</t>
  </si>
  <si>
    <t xml:space="preserve">HH-32021</t>
  </si>
  <si>
    <t xml:space="preserve">FORK TUBE NUT SS</t>
  </si>
  <si>
    <t xml:space="preserve">KB-35009</t>
  </si>
  <si>
    <t xml:space="preserve">GEAR BOX SPROCKET CT-100</t>
  </si>
  <si>
    <t xml:space="preserve">HH-40041</t>
  </si>
  <si>
    <t xml:space="preserve">H/L VISOR PATTI SET PASSION PRO</t>
  </si>
  <si>
    <t xml:space="preserve">BC-53000</t>
  </si>
  <si>
    <t xml:space="preserve">MUDGURD BOLT 99M CHETAK</t>
  </si>
  <si>
    <t xml:space="preserve">BC-54001</t>
  </si>
  <si>
    <t xml:space="preserve">NUMBER PLATE SCREW 99-MODEL</t>
  </si>
  <si>
    <t xml:space="preserve">HH-24017</t>
  </si>
  <si>
    <t xml:space="preserve">SIDE PENAL SCREW NO.8</t>
  </si>
  <si>
    <t xml:space="preserve">TOP</t>
  </si>
  <si>
    <t xml:space="preserve">TNB-123A</t>
  </si>
  <si>
    <t xml:space="preserve">COWL SCREE PASSIN</t>
  </si>
  <si>
    <t xml:space="preserve">TNB-35</t>
  </si>
  <si>
    <t xml:space="preserve">FRONT FORK LEG ALENKY BOLT 8MM HH OE</t>
  </si>
  <si>
    <t xml:space="preserve">HH-182</t>
  </si>
  <si>
    <t xml:space="preserve">PETROL FILTER HH OE</t>
  </si>
  <si>
    <t xml:space="preserve">TNB-113</t>
  </si>
  <si>
    <t xml:space="preserve">SEAT BOLT SMALL 8X16 HH OE</t>
  </si>
  <si>
    <t xml:space="preserve">73181500</t>
  </si>
  <si>
    <t xml:space="preserve">TRP-70</t>
  </si>
  <si>
    <t xml:space="preserve">SIDE PANEL TRIM RUBBER (ROUND) P-17 OE</t>
  </si>
  <si>
    <t xml:space="preserve">HH-270</t>
  </si>
  <si>
    <t xml:space="preserve">TOOL BOX LOCK PATTI HH OE</t>
  </si>
  <si>
    <t xml:space="preserve">TATA</t>
  </si>
  <si>
    <t xml:space="preserve">TATA-6204</t>
  </si>
  <si>
    <t xml:space="preserve">6204 SET</t>
  </si>
  <si>
    <t xml:space="preserve">84821020</t>
  </si>
  <si>
    <t xml:space="preserve">ULTRON</t>
  </si>
  <si>
    <t xml:space="preserve">U-1118A</t>
  </si>
  <si>
    <t xml:space="preserve">P T LOCK CT-100</t>
  </si>
  <si>
    <t xml:space="preserve">83012000</t>
  </si>
  <si>
    <t xml:space="preserve">U-1116A</t>
  </si>
  <si>
    <t xml:space="preserve">P T LOCK PULSAR</t>
  </si>
  <si>
    <t xml:space="preserve">UNITECH 18%</t>
  </si>
  <si>
    <t xml:space="preserve">UT-06</t>
  </si>
  <si>
    <t xml:space="preserve">H L HOLDER CD-100</t>
  </si>
  <si>
    <t xml:space="preserve">UT-150</t>
  </si>
  <si>
    <t xml:space="preserve">H L HOLDER PASSION</t>
  </si>
  <si>
    <t xml:space="preserve">UT-20A</t>
  </si>
  <si>
    <t xml:space="preserve">H L HOLDER SPL N/M</t>
  </si>
  <si>
    <t xml:space="preserve">UTR-03</t>
  </si>
  <si>
    <t xml:space="preserve">HANDLE CUSHION SET OF 4 HH 2PC UNDE 2PCR…</t>
  </si>
  <si>
    <t xml:space="preserve">40169390</t>
  </si>
  <si>
    <t xml:space="preserve">UT-20</t>
  </si>
  <si>
    <t xml:space="preserve">HEAD LIGHT HOLDER SPLENDOR O/M</t>
  </si>
  <si>
    <t xml:space="preserve">UT-38A</t>
  </si>
  <si>
    <t xml:space="preserve">TAIL LIGHT ASSEMBLY PASSION</t>
  </si>
  <si>
    <t xml:space="preserve">ZODIX</t>
  </si>
  <si>
    <t xml:space="preserve">2061</t>
  </si>
  <si>
    <t xml:space="preserve">KICK SHAFT HH</t>
  </si>
  <si>
    <t xml:space="preserve">TOTAL</t>
  </si>
  <si>
    <t xml:space="preserve">106 line items across 24 brands</t>
  </si>
  <si>
    <t xml:space="preserve">•  Source: scanned tax invoice A000070 from Kumar Autostores (5 pages), transcribed by reading each page image — the PDF has no text layer.</t>
  </si>
  <si>
    <t xml:space="preserve">•  The invoice's 'Unit Rate' is the MRP after Disc 1, and it is GST-inclusive. Taxable Value on the invoice = Unit Rate × Qty ÷ 1.18.</t>
  </si>
  <si>
    <t xml:space="preserve">•  'Net Rate exact' recomputes the rate as MRP × (1−Disc 1) × (1−Disc 2) without rounding. All 106 lines reconcile to the printed Taxable Value to the paisa on this basis.</t>
  </si>
  <si>
    <t xml:space="preserve">•  Four lines print a rate rounded to 2 dp that differs slightly from the exact rate (S.No 83, 88, 90, 95 — small parts at qty 50–100). Their printed Taxable Values are still correct; use the exact rate to reproduce them.</t>
  </si>
  <si>
    <t xml:space="preserve">•  The 'Diff' column should read 0.00 on every line. Any non-zero value flags a transcription error to check against the scan.</t>
  </si>
  <si>
    <t xml:space="preserve">•  Sum of the printed Taxable Values is 126,075.27 against the invoice's printed Sub Total of 126,075.35 — a 0.08 rounding drift in the supplier's own software, not a transcription error. The Grand Total reconciles exactly.</t>
  </si>
  <si>
    <t xml:space="preserve">Invoice Summary</t>
  </si>
  <si>
    <t xml:space="preserve">Supplier</t>
  </si>
  <si>
    <t xml:space="preserve">KUMAR AUTOSTORES</t>
  </si>
  <si>
    <t xml:space="preserve">Supplier address</t>
  </si>
  <si>
    <t xml:space="preserve">4-1-18/1, Keerthi Sadan, G P Road, Vijaya Lakshmi Talkies Back Side, Bhimavaram, West Godavari, Andhra Pradesh</t>
  </si>
  <si>
    <t xml:space="preserve">Supplier GSTIN</t>
  </si>
  <si>
    <t xml:space="preserve">37AITPG4383P1ZB</t>
  </si>
  <si>
    <t xml:space="preserve">Supplier phone / e-mail</t>
  </si>
  <si>
    <t xml:space="preserve">9397111911  |  kumar224632@gmail.com</t>
  </si>
  <si>
    <t xml:space="preserve">Document type</t>
  </si>
  <si>
    <t xml:space="preserve">Tax Invoice — Credit</t>
  </si>
  <si>
    <t xml:space="preserve">Invoice no.</t>
  </si>
  <si>
    <t xml:space="preserve">A000070</t>
  </si>
  <si>
    <t xml:space="preserve">Invoice date</t>
  </si>
  <si>
    <t xml:space="preserve">06/04/2026</t>
  </si>
  <si>
    <t xml:space="preserve">Buyer</t>
  </si>
  <si>
    <t xml:space="preserve">M/s SRI SRI SATYA SAI AUTMOBILE AG</t>
  </si>
  <si>
    <t xml:space="preserve">Buyer address</t>
  </si>
  <si>
    <t xml:space="preserve">Tadepalligudem 2-12-27/1, Railway Station Road, Tadepalligudem – 534101</t>
  </si>
  <si>
    <t xml:space="preserve">Buyer GSTIN</t>
  </si>
  <si>
    <t xml:space="preserve">37CUJPG4763K1Z5</t>
  </si>
  <si>
    <t xml:space="preserve">Buyer phone</t>
  </si>
  <si>
    <t xml:space="preserve">9848725117</t>
  </si>
  <si>
    <t xml:space="preserve">Billed by</t>
  </si>
  <si>
    <t xml:space="preserve">NARAYANA</t>
  </si>
  <si>
    <t xml:space="preserve">W.No &amp; Dt</t>
  </si>
  <si>
    <t xml:space="preserve">Bank</t>
  </si>
  <si>
    <t xml:space="preserve">Bank of Baroda, Bhimavaram — A/c 08360400000167, IFSC BARB0BHIMAV</t>
  </si>
  <si>
    <t xml:space="preserve">Invoice totals</t>
  </si>
  <si>
    <t xml:space="preserve">Calculated</t>
  </si>
  <si>
    <t xml:space="preserve">Printed on invoice</t>
  </si>
  <si>
    <t xml:space="preserve">Basis</t>
  </si>
  <si>
    <t xml:space="preserve">Sub Total (taxable value)</t>
  </si>
  <si>
    <t xml:space="preserve">Sum of printed line taxable values</t>
  </si>
  <si>
    <t xml:space="preserve">SGST @ 9%</t>
  </si>
  <si>
    <t xml:space="preserve">State GST</t>
  </si>
  <si>
    <t xml:space="preserve">CGST @ 9%</t>
  </si>
  <si>
    <t xml:space="preserve">Central GST</t>
  </si>
  <si>
    <t xml:space="preserve">Total GST @ 18%</t>
  </si>
  <si>
    <t xml:space="preserve">SGST + CGST</t>
  </si>
  <si>
    <t xml:space="preserve">Add / Less</t>
  </si>
  <si>
    <t xml:space="preserve">Per invoice</t>
  </si>
  <si>
    <t xml:space="preserve">Round off +/−</t>
  </si>
  <si>
    <t xml:space="preserve">GRAND TOTAL</t>
  </si>
  <si>
    <t xml:space="preserve">Rs. One Lac Forty Eight Thousand Seven Hundred and Sixty Nine only</t>
  </si>
  <si>
    <t xml:space="preserve">Total Qty</t>
  </si>
  <si>
    <t xml:space="preserve">Brand-wise breakdown</t>
  </si>
  <si>
    <t xml:space="preserve">Lines</t>
  </si>
  <si>
    <t xml:space="preserve">Gross (MRP×Qty)</t>
  </si>
  <si>
    <t xml:space="preserve">Gross printed</t>
  </si>
  <si>
    <t xml:space="preserve">Net (rate×Qty)</t>
  </si>
  <si>
    <t xml:space="preserve">Net printed</t>
  </si>
  <si>
    <t xml:space="preserve">Taxable value</t>
  </si>
  <si>
    <t xml:space="preserve">•  Every brand's Gross and Net reconcile to the sub-total lines printed on the invoice; 22 of 24 match to the rupee, and SILVERUP and TOP differ only because their printed unit rates are rounded to 2 dp.</t>
  </si>
  <si>
    <t xml:space="preserve">•  'Gross printed' and 'Net printed' are the Gross/Net figures typed under each brand block on the invoice. The adjacent calculated columns are formulas over the Line Items sheet.</t>
  </si>
  <si>
    <t xml:space="preserve">•  GST is 18% on every line, so the invoice's single GST class (SGST 9% + CGST 9%) applies throughout.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</si>
</sst>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9"/>
    <col collapsed="false" customWidth="true" hidden="false" outlineLevel="0" max="18" min="17" style="0" width="13"/>
    <col collapsed="false" customWidth="true" hidden="false" outlineLevel="0" max="19" min="19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1</v>
      </c>
      <c r="B5" s="5" t="s">
        <v>21</v>
      </c>
      <c r="C5" s="5" t="s">
        <v>22</v>
      </c>
      <c r="D5" s="5" t="s">
        <v>23</v>
      </c>
      <c r="E5" s="6" t="s">
        <v>24</v>
      </c>
      <c r="F5" s="7" t="n">
        <v>336</v>
      </c>
      <c r="G5" s="8" t="n">
        <v>0.45</v>
      </c>
      <c r="H5" s="8" t="n">
        <v>0</v>
      </c>
      <c r="I5" s="7" t="n">
        <v>184.8</v>
      </c>
      <c r="J5" s="9" t="n">
        <f aca="false">F5*(1-G5)*(1-H5)</f>
        <v>184.8</v>
      </c>
      <c r="K5" s="4" t="n">
        <v>20</v>
      </c>
      <c r="L5" s="9" t="n">
        <f aca="false">J5*K5</f>
        <v>3696</v>
      </c>
      <c r="M5" s="8" t="n">
        <v>0.18</v>
      </c>
      <c r="N5" s="7" t="n">
        <v>3132.2</v>
      </c>
      <c r="O5" s="9" t="n">
        <f aca="false">ROUND(L5/(1+M5),2)</f>
        <v>3132.2</v>
      </c>
      <c r="P5" s="9" t="n">
        <f aca="false">O5-N5</f>
        <v>0</v>
      </c>
      <c r="Q5" s="9" t="n">
        <f aca="false">ROUND(N5*M5,2)</f>
        <v>563.8</v>
      </c>
      <c r="R5" s="9" t="n">
        <f aca="false">N5+Q5</f>
        <v>3696</v>
      </c>
      <c r="S5" s="10"/>
    </row>
    <row r="6" customFormat="false" ht="15" hidden="false" customHeight="false" outlineLevel="0" collapsed="false">
      <c r="A6" s="4" t="n">
        <v>2</v>
      </c>
      <c r="B6" s="5" t="s">
        <v>21</v>
      </c>
      <c r="C6" s="5" t="s">
        <v>25</v>
      </c>
      <c r="D6" s="5" t="s">
        <v>26</v>
      </c>
      <c r="E6" s="6" t="s">
        <v>24</v>
      </c>
      <c r="F6" s="7" t="n">
        <v>300</v>
      </c>
      <c r="G6" s="8" t="n">
        <v>0.45</v>
      </c>
      <c r="H6" s="8" t="n">
        <v>0</v>
      </c>
      <c r="I6" s="7" t="n">
        <v>165</v>
      </c>
      <c r="J6" s="9" t="n">
        <f aca="false">F6*(1-G6)*(1-H6)</f>
        <v>165</v>
      </c>
      <c r="K6" s="4" t="n">
        <v>20</v>
      </c>
      <c r="L6" s="9" t="n">
        <f aca="false">J6*K6</f>
        <v>3300</v>
      </c>
      <c r="M6" s="8" t="n">
        <v>0.18</v>
      </c>
      <c r="N6" s="7" t="n">
        <v>2796.61</v>
      </c>
      <c r="O6" s="9" t="n">
        <f aca="false">ROUND(L6/(1+M6),2)</f>
        <v>2796.61</v>
      </c>
      <c r="P6" s="9" t="n">
        <f aca="false">O6-N6</f>
        <v>0</v>
      </c>
      <c r="Q6" s="9" t="n">
        <f aca="false">ROUND(N6*M6,2)</f>
        <v>503.39</v>
      </c>
      <c r="R6" s="9" t="n">
        <f aca="false">N6+Q6</f>
        <v>3300</v>
      </c>
      <c r="S6" s="10"/>
    </row>
    <row r="7" customFormat="false" ht="15" hidden="false" customHeight="false" outlineLevel="0" collapsed="false">
      <c r="A7" s="4" t="n">
        <v>3</v>
      </c>
      <c r="B7" s="5" t="s">
        <v>21</v>
      </c>
      <c r="C7" s="5" t="s">
        <v>27</v>
      </c>
      <c r="D7" s="5" t="s">
        <v>28</v>
      </c>
      <c r="E7" s="6" t="s">
        <v>24</v>
      </c>
      <c r="F7" s="7" t="n">
        <v>300</v>
      </c>
      <c r="G7" s="8" t="n">
        <v>0.45</v>
      </c>
      <c r="H7" s="8" t="n">
        <v>0</v>
      </c>
      <c r="I7" s="7" t="n">
        <v>165</v>
      </c>
      <c r="J7" s="9" t="n">
        <f aca="false">F7*(1-G7)*(1-H7)</f>
        <v>165</v>
      </c>
      <c r="K7" s="4" t="n">
        <v>30</v>
      </c>
      <c r="L7" s="9" t="n">
        <f aca="false">J7*K7</f>
        <v>4950</v>
      </c>
      <c r="M7" s="8" t="n">
        <v>0.18</v>
      </c>
      <c r="N7" s="7" t="n">
        <v>4194.92</v>
      </c>
      <c r="O7" s="9" t="n">
        <f aca="false">ROUND(L7/(1+M7),2)</f>
        <v>4194.92</v>
      </c>
      <c r="P7" s="9" t="n">
        <f aca="false">O7-N7</f>
        <v>0</v>
      </c>
      <c r="Q7" s="9" t="n">
        <f aca="false">ROUND(N7*M7,2)</f>
        <v>755.09</v>
      </c>
      <c r="R7" s="9" t="n">
        <f aca="false">N7+Q7</f>
        <v>4950.01</v>
      </c>
      <c r="S7" s="10"/>
    </row>
    <row r="8" customFormat="false" ht="15" hidden="false" customHeight="false" outlineLevel="0" collapsed="false">
      <c r="A8" s="11" t="n">
        <v>4</v>
      </c>
      <c r="B8" s="12" t="s">
        <v>29</v>
      </c>
      <c r="C8" s="12" t="s">
        <v>30</v>
      </c>
      <c r="D8" s="12" t="s">
        <v>31</v>
      </c>
      <c r="E8" s="13" t="s">
        <v>32</v>
      </c>
      <c r="F8" s="14" t="n">
        <v>7</v>
      </c>
      <c r="G8" s="15" t="n">
        <v>0.45</v>
      </c>
      <c r="H8" s="15" t="n">
        <v>0</v>
      </c>
      <c r="I8" s="14" t="n">
        <v>3.85</v>
      </c>
      <c r="J8" s="16" t="n">
        <f aca="false">F8*(1-G8)*(1-H8)</f>
        <v>3.85</v>
      </c>
      <c r="K8" s="11" t="n">
        <v>100</v>
      </c>
      <c r="L8" s="16" t="n">
        <f aca="false">J8*K8</f>
        <v>385</v>
      </c>
      <c r="M8" s="15" t="n">
        <v>0.18</v>
      </c>
      <c r="N8" s="14" t="n">
        <v>326.27</v>
      </c>
      <c r="O8" s="16" t="n">
        <f aca="false">ROUND(L8/(1+M8),2)</f>
        <v>326.27</v>
      </c>
      <c r="P8" s="16" t="n">
        <f aca="false">O8-N8</f>
        <v>0</v>
      </c>
      <c r="Q8" s="16" t="n">
        <f aca="false">ROUND(N8*M8,2)</f>
        <v>58.73</v>
      </c>
      <c r="R8" s="16" t="n">
        <f aca="false">N8+Q8</f>
        <v>385</v>
      </c>
      <c r="S8" s="17"/>
    </row>
    <row r="9" customFormat="false" ht="15" hidden="false" customHeight="false" outlineLevel="0" collapsed="false">
      <c r="A9" s="4" t="n">
        <v>5</v>
      </c>
      <c r="B9" s="5" t="s">
        <v>29</v>
      </c>
      <c r="C9" s="5" t="s">
        <v>33</v>
      </c>
      <c r="D9" s="5" t="s">
        <v>34</v>
      </c>
      <c r="E9" s="6" t="s">
        <v>32</v>
      </c>
      <c r="F9" s="7" t="n">
        <v>155</v>
      </c>
      <c r="G9" s="8" t="n">
        <v>0.45</v>
      </c>
      <c r="H9" s="8" t="n">
        <v>0</v>
      </c>
      <c r="I9" s="7" t="n">
        <v>85.25</v>
      </c>
      <c r="J9" s="9" t="n">
        <f aca="false">F9*(1-G9)*(1-H9)</f>
        <v>85.25</v>
      </c>
      <c r="K9" s="4" t="n">
        <v>5</v>
      </c>
      <c r="L9" s="9" t="n">
        <f aca="false">J9*K9</f>
        <v>426.25</v>
      </c>
      <c r="M9" s="8" t="n">
        <v>0.18</v>
      </c>
      <c r="N9" s="7" t="n">
        <v>361.23</v>
      </c>
      <c r="O9" s="9" t="n">
        <f aca="false">ROUND(L9/(1+M9),2)</f>
        <v>361.23</v>
      </c>
      <c r="P9" s="9" t="n">
        <f aca="false">O9-N9</f>
        <v>0</v>
      </c>
      <c r="Q9" s="9" t="n">
        <f aca="false">ROUND(N9*M9,2)</f>
        <v>65.02</v>
      </c>
      <c r="R9" s="9" t="n">
        <f aca="false">N9+Q9</f>
        <v>426.25</v>
      </c>
      <c r="S9" s="10"/>
    </row>
    <row r="10" customFormat="false" ht="15" hidden="false" customHeight="false" outlineLevel="0" collapsed="false">
      <c r="A10" s="4" t="n">
        <v>6</v>
      </c>
      <c r="B10" s="5" t="s">
        <v>29</v>
      </c>
      <c r="C10" s="5" t="s">
        <v>35</v>
      </c>
      <c r="D10" s="5" t="s">
        <v>36</v>
      </c>
      <c r="E10" s="6" t="s">
        <v>37</v>
      </c>
      <c r="F10" s="7" t="n">
        <v>3.2</v>
      </c>
      <c r="G10" s="8" t="n">
        <v>0.45</v>
      </c>
      <c r="H10" s="8" t="n">
        <v>0</v>
      </c>
      <c r="I10" s="7" t="n">
        <v>1.76</v>
      </c>
      <c r="J10" s="9" t="n">
        <f aca="false">F10*(1-G10)*(1-H10)</f>
        <v>1.76</v>
      </c>
      <c r="K10" s="4" t="n">
        <v>100</v>
      </c>
      <c r="L10" s="9" t="n">
        <f aca="false">J10*K10</f>
        <v>176</v>
      </c>
      <c r="M10" s="8" t="n">
        <v>0.18</v>
      </c>
      <c r="N10" s="7" t="n">
        <v>149.15</v>
      </c>
      <c r="O10" s="9" t="n">
        <f aca="false">ROUND(L10/(1+M10),2)</f>
        <v>149.15</v>
      </c>
      <c r="P10" s="9" t="n">
        <f aca="false">O10-N10</f>
        <v>0</v>
      </c>
      <c r="Q10" s="9" t="n">
        <f aca="false">ROUND(N10*M10,2)</f>
        <v>26.85</v>
      </c>
      <c r="R10" s="9" t="n">
        <f aca="false">N10+Q10</f>
        <v>176</v>
      </c>
      <c r="S10" s="10"/>
    </row>
    <row r="11" customFormat="false" ht="15" hidden="false" customHeight="false" outlineLevel="0" collapsed="false">
      <c r="A11" s="11" t="n">
        <v>7</v>
      </c>
      <c r="B11" s="12" t="s">
        <v>38</v>
      </c>
      <c r="C11" s="12" t="s">
        <v>39</v>
      </c>
      <c r="D11" s="12" t="s">
        <v>40</v>
      </c>
      <c r="E11" s="13" t="s">
        <v>24</v>
      </c>
      <c r="F11" s="14" t="n">
        <v>48</v>
      </c>
      <c r="G11" s="15" t="n">
        <v>0</v>
      </c>
      <c r="H11" s="15" t="n">
        <v>0</v>
      </c>
      <c r="I11" s="14" t="n">
        <v>48</v>
      </c>
      <c r="J11" s="16" t="n">
        <f aca="false">F11*(1-G11)*(1-H11)</f>
        <v>48</v>
      </c>
      <c r="K11" s="11" t="n">
        <v>9</v>
      </c>
      <c r="L11" s="16" t="n">
        <f aca="false">J11*K11</f>
        <v>432</v>
      </c>
      <c r="M11" s="15" t="n">
        <v>0.18</v>
      </c>
      <c r="N11" s="14" t="n">
        <v>366.1</v>
      </c>
      <c r="O11" s="16" t="n">
        <f aca="false">ROUND(L11/(1+M11),2)</f>
        <v>366.1</v>
      </c>
      <c r="P11" s="16" t="n">
        <f aca="false">O11-N11</f>
        <v>0</v>
      </c>
      <c r="Q11" s="16" t="n">
        <f aca="false">ROUND(N11*M11,2)</f>
        <v>65.9</v>
      </c>
      <c r="R11" s="16" t="n">
        <f aca="false">N11+Q11</f>
        <v>432</v>
      </c>
      <c r="S11" s="17"/>
    </row>
    <row r="12" customFormat="false" ht="15" hidden="false" customHeight="false" outlineLevel="0" collapsed="false">
      <c r="A12" s="4" t="n">
        <v>8</v>
      </c>
      <c r="B12" s="5" t="s">
        <v>38</v>
      </c>
      <c r="C12" s="5" t="s">
        <v>41</v>
      </c>
      <c r="D12" s="5" t="s">
        <v>42</v>
      </c>
      <c r="E12" s="6" t="s">
        <v>32</v>
      </c>
      <c r="F12" s="7" t="n">
        <v>750</v>
      </c>
      <c r="G12" s="8" t="n">
        <v>0.35</v>
      </c>
      <c r="H12" s="8" t="n">
        <v>0</v>
      </c>
      <c r="I12" s="7" t="n">
        <v>487.5</v>
      </c>
      <c r="J12" s="9" t="n">
        <f aca="false">F12*(1-G12)*(1-H12)</f>
        <v>487.5</v>
      </c>
      <c r="K12" s="4" t="n">
        <v>10</v>
      </c>
      <c r="L12" s="9" t="n">
        <f aca="false">J12*K12</f>
        <v>4875</v>
      </c>
      <c r="M12" s="8" t="n">
        <v>0.18</v>
      </c>
      <c r="N12" s="7" t="n">
        <v>4131.36</v>
      </c>
      <c r="O12" s="9" t="n">
        <f aca="false">ROUND(L12/(1+M12),2)</f>
        <v>4131.36</v>
      </c>
      <c r="P12" s="9" t="n">
        <f aca="false">O12-N12</f>
        <v>0</v>
      </c>
      <c r="Q12" s="9" t="n">
        <f aca="false">ROUND(N12*M12,2)</f>
        <v>743.64</v>
      </c>
      <c r="R12" s="9" t="n">
        <f aca="false">N12+Q12</f>
        <v>4875</v>
      </c>
      <c r="S12" s="10"/>
    </row>
    <row r="13" customFormat="false" ht="15" hidden="false" customHeight="false" outlineLevel="0" collapsed="false">
      <c r="A13" s="11" t="n">
        <v>9</v>
      </c>
      <c r="B13" s="12" t="s">
        <v>43</v>
      </c>
      <c r="C13" s="12" t="s">
        <v>44</v>
      </c>
      <c r="D13" s="12" t="s">
        <v>45</v>
      </c>
      <c r="E13" s="13" t="s">
        <v>32</v>
      </c>
      <c r="F13" s="14" t="n">
        <v>17</v>
      </c>
      <c r="G13" s="15" t="n">
        <v>0.32</v>
      </c>
      <c r="H13" s="15" t="n">
        <v>0</v>
      </c>
      <c r="I13" s="14" t="n">
        <v>11.56</v>
      </c>
      <c r="J13" s="16" t="n">
        <f aca="false">F13*(1-G13)*(1-H13)</f>
        <v>11.56</v>
      </c>
      <c r="K13" s="11" t="n">
        <v>30</v>
      </c>
      <c r="L13" s="16" t="n">
        <f aca="false">J13*K13</f>
        <v>346.8</v>
      </c>
      <c r="M13" s="15" t="n">
        <v>0.18</v>
      </c>
      <c r="N13" s="14" t="n">
        <v>293.9</v>
      </c>
      <c r="O13" s="16" t="n">
        <f aca="false">ROUND(L13/(1+M13),2)</f>
        <v>293.9</v>
      </c>
      <c r="P13" s="16" t="n">
        <f aca="false">O13-N13</f>
        <v>0</v>
      </c>
      <c r="Q13" s="16" t="n">
        <f aca="false">ROUND(N13*M13,2)</f>
        <v>52.9</v>
      </c>
      <c r="R13" s="16" t="n">
        <f aca="false">N13+Q13</f>
        <v>346.8</v>
      </c>
      <c r="S13" s="17"/>
    </row>
    <row r="14" customFormat="false" ht="15" hidden="false" customHeight="false" outlineLevel="0" collapsed="false">
      <c r="A14" s="11" t="n">
        <v>10</v>
      </c>
      <c r="B14" s="12" t="s">
        <v>46</v>
      </c>
      <c r="C14" s="12" t="s">
        <v>47</v>
      </c>
      <c r="D14" s="12" t="s">
        <v>48</v>
      </c>
      <c r="E14" s="13" t="s">
        <v>32</v>
      </c>
      <c r="F14" s="14" t="n">
        <v>88</v>
      </c>
      <c r="G14" s="15" t="n">
        <v>0.4</v>
      </c>
      <c r="H14" s="15" t="n">
        <v>0</v>
      </c>
      <c r="I14" s="14" t="n">
        <v>52.8</v>
      </c>
      <c r="J14" s="16" t="n">
        <f aca="false">F14*(1-G14)*(1-H14)</f>
        <v>52.8</v>
      </c>
      <c r="K14" s="11" t="n">
        <v>5</v>
      </c>
      <c r="L14" s="16" t="n">
        <f aca="false">J14*K14</f>
        <v>264</v>
      </c>
      <c r="M14" s="15" t="n">
        <v>0.18</v>
      </c>
      <c r="N14" s="14" t="n">
        <v>223.73</v>
      </c>
      <c r="O14" s="16" t="n">
        <f aca="false">ROUND(L14/(1+M14),2)</f>
        <v>223.73</v>
      </c>
      <c r="P14" s="16" t="n">
        <f aca="false">O14-N14</f>
        <v>0</v>
      </c>
      <c r="Q14" s="16" t="n">
        <f aca="false">ROUND(N14*M14,2)</f>
        <v>40.27</v>
      </c>
      <c r="R14" s="16" t="n">
        <f aca="false">N14+Q14</f>
        <v>264</v>
      </c>
      <c r="S14" s="17"/>
    </row>
    <row r="15" customFormat="false" ht="15" hidden="false" customHeight="false" outlineLevel="0" collapsed="false">
      <c r="A15" s="11" t="n">
        <v>11</v>
      </c>
      <c r="B15" s="12" t="s">
        <v>49</v>
      </c>
      <c r="C15" s="12" t="s">
        <v>50</v>
      </c>
      <c r="D15" s="12" t="s">
        <v>51</v>
      </c>
      <c r="E15" s="13" t="s">
        <v>24</v>
      </c>
      <c r="F15" s="14" t="n">
        <v>260</v>
      </c>
      <c r="G15" s="15" t="n">
        <v>0.35</v>
      </c>
      <c r="H15" s="15" t="n">
        <v>0</v>
      </c>
      <c r="I15" s="14" t="n">
        <v>169</v>
      </c>
      <c r="J15" s="16" t="n">
        <f aca="false">F15*(1-G15)*(1-H15)</f>
        <v>169</v>
      </c>
      <c r="K15" s="11" t="n">
        <v>30</v>
      </c>
      <c r="L15" s="16" t="n">
        <f aca="false">J15*K15</f>
        <v>5070</v>
      </c>
      <c r="M15" s="15" t="n">
        <v>0.18</v>
      </c>
      <c r="N15" s="14" t="n">
        <v>4296.61</v>
      </c>
      <c r="O15" s="16" t="n">
        <f aca="false">ROUND(L15/(1+M15),2)</f>
        <v>4296.61</v>
      </c>
      <c r="P15" s="16" t="n">
        <f aca="false">O15-N15</f>
        <v>0</v>
      </c>
      <c r="Q15" s="16" t="n">
        <f aca="false">ROUND(N15*M15,2)</f>
        <v>773.39</v>
      </c>
      <c r="R15" s="16" t="n">
        <f aca="false">N15+Q15</f>
        <v>5070</v>
      </c>
      <c r="S15" s="17"/>
    </row>
    <row r="16" customFormat="false" ht="15" hidden="false" customHeight="false" outlineLevel="0" collapsed="false">
      <c r="A16" s="4" t="n">
        <v>12</v>
      </c>
      <c r="B16" s="5" t="s">
        <v>49</v>
      </c>
      <c r="C16" s="5" t="s">
        <v>52</v>
      </c>
      <c r="D16" s="5" t="s">
        <v>53</v>
      </c>
      <c r="E16" s="6" t="s">
        <v>24</v>
      </c>
      <c r="F16" s="7" t="n">
        <v>498</v>
      </c>
      <c r="G16" s="8" t="n">
        <v>0.35</v>
      </c>
      <c r="H16" s="8" t="n">
        <v>0</v>
      </c>
      <c r="I16" s="7" t="n">
        <v>323.7</v>
      </c>
      <c r="J16" s="9" t="n">
        <f aca="false">F16*(1-G16)*(1-H16)</f>
        <v>323.7</v>
      </c>
      <c r="K16" s="4" t="n">
        <v>6</v>
      </c>
      <c r="L16" s="9" t="n">
        <f aca="false">J16*K16</f>
        <v>1942.2</v>
      </c>
      <c r="M16" s="8" t="n">
        <v>0.18</v>
      </c>
      <c r="N16" s="7" t="n">
        <v>1645.93</v>
      </c>
      <c r="O16" s="9" t="n">
        <f aca="false">ROUND(L16/(1+M16),2)</f>
        <v>1645.93</v>
      </c>
      <c r="P16" s="9" t="n">
        <f aca="false">O16-N16</f>
        <v>0</v>
      </c>
      <c r="Q16" s="9" t="n">
        <f aca="false">ROUND(N16*M16,2)</f>
        <v>296.27</v>
      </c>
      <c r="R16" s="9" t="n">
        <f aca="false">N16+Q16</f>
        <v>1942.2</v>
      </c>
      <c r="S16" s="10"/>
    </row>
    <row r="17" customFormat="false" ht="15" hidden="false" customHeight="false" outlineLevel="0" collapsed="false">
      <c r="A17" s="4" t="n">
        <v>13</v>
      </c>
      <c r="B17" s="5" t="s">
        <v>49</v>
      </c>
      <c r="C17" s="5" t="s">
        <v>54</v>
      </c>
      <c r="D17" s="5" t="s">
        <v>55</v>
      </c>
      <c r="E17" s="6" t="s">
        <v>24</v>
      </c>
      <c r="F17" s="7" t="n">
        <v>694</v>
      </c>
      <c r="G17" s="8" t="n">
        <v>0.35</v>
      </c>
      <c r="H17" s="8" t="n">
        <v>0</v>
      </c>
      <c r="I17" s="7" t="n">
        <v>451.1</v>
      </c>
      <c r="J17" s="9" t="n">
        <f aca="false">F17*(1-G17)*(1-H17)</f>
        <v>451.1</v>
      </c>
      <c r="K17" s="4" t="n">
        <v>4</v>
      </c>
      <c r="L17" s="9" t="n">
        <f aca="false">J17*K17</f>
        <v>1804.4</v>
      </c>
      <c r="M17" s="8" t="n">
        <v>0.18</v>
      </c>
      <c r="N17" s="7" t="n">
        <v>1529.15</v>
      </c>
      <c r="O17" s="9" t="n">
        <f aca="false">ROUND(L17/(1+M17),2)</f>
        <v>1529.15</v>
      </c>
      <c r="P17" s="9" t="n">
        <f aca="false">O17-N17</f>
        <v>0</v>
      </c>
      <c r="Q17" s="9" t="n">
        <f aca="false">ROUND(N17*M17,2)</f>
        <v>275.25</v>
      </c>
      <c r="R17" s="9" t="n">
        <f aca="false">N17+Q17</f>
        <v>1804.4</v>
      </c>
      <c r="S17" s="10"/>
    </row>
    <row r="18" customFormat="false" ht="15" hidden="false" customHeight="false" outlineLevel="0" collapsed="false">
      <c r="A18" s="4" t="n">
        <v>14</v>
      </c>
      <c r="B18" s="5" t="s">
        <v>49</v>
      </c>
      <c r="C18" s="5" t="s">
        <v>56</v>
      </c>
      <c r="D18" s="5" t="s">
        <v>57</v>
      </c>
      <c r="E18" s="6" t="s">
        <v>24</v>
      </c>
      <c r="F18" s="7" t="n">
        <v>859</v>
      </c>
      <c r="G18" s="8" t="n">
        <v>0.35</v>
      </c>
      <c r="H18" s="8" t="n">
        <v>0</v>
      </c>
      <c r="I18" s="7" t="n">
        <v>558.35</v>
      </c>
      <c r="J18" s="9" t="n">
        <f aca="false">F18*(1-G18)*(1-H18)</f>
        <v>558.35</v>
      </c>
      <c r="K18" s="4" t="n">
        <v>3</v>
      </c>
      <c r="L18" s="9" t="n">
        <f aca="false">J18*K18</f>
        <v>1675.05</v>
      </c>
      <c r="M18" s="8" t="n">
        <v>0.18</v>
      </c>
      <c r="N18" s="7" t="n">
        <v>1419.53</v>
      </c>
      <c r="O18" s="9" t="n">
        <f aca="false">ROUND(L18/(1+M18),2)</f>
        <v>1419.53</v>
      </c>
      <c r="P18" s="9" t="n">
        <f aca="false">O18-N18</f>
        <v>0</v>
      </c>
      <c r="Q18" s="9" t="n">
        <f aca="false">ROUND(N18*M18,2)</f>
        <v>255.52</v>
      </c>
      <c r="R18" s="9" t="n">
        <f aca="false">N18+Q18</f>
        <v>1675.05</v>
      </c>
      <c r="S18" s="10"/>
    </row>
    <row r="19" customFormat="false" ht="15" hidden="false" customHeight="false" outlineLevel="0" collapsed="false">
      <c r="A19" s="4" t="n">
        <v>15</v>
      </c>
      <c r="B19" s="5" t="s">
        <v>49</v>
      </c>
      <c r="C19" s="5" t="s">
        <v>58</v>
      </c>
      <c r="D19" s="5" t="s">
        <v>59</v>
      </c>
      <c r="E19" s="6" t="s">
        <v>24</v>
      </c>
      <c r="F19" s="7" t="n">
        <v>438</v>
      </c>
      <c r="G19" s="8" t="n">
        <v>0.35</v>
      </c>
      <c r="H19" s="8" t="n">
        <v>0</v>
      </c>
      <c r="I19" s="7" t="n">
        <v>284.7</v>
      </c>
      <c r="J19" s="9" t="n">
        <f aca="false">F19*(1-G19)*(1-H19)</f>
        <v>284.7</v>
      </c>
      <c r="K19" s="4" t="n">
        <v>3</v>
      </c>
      <c r="L19" s="9" t="n">
        <f aca="false">J19*K19</f>
        <v>854.1</v>
      </c>
      <c r="M19" s="8" t="n">
        <v>0.18</v>
      </c>
      <c r="N19" s="7" t="n">
        <v>723.81</v>
      </c>
      <c r="O19" s="9" t="n">
        <f aca="false">ROUND(L19/(1+M19),2)</f>
        <v>723.81</v>
      </c>
      <c r="P19" s="9" t="n">
        <f aca="false">O19-N19</f>
        <v>0</v>
      </c>
      <c r="Q19" s="9" t="n">
        <f aca="false">ROUND(N19*M19,2)</f>
        <v>130.29</v>
      </c>
      <c r="R19" s="9" t="n">
        <f aca="false">N19+Q19</f>
        <v>854.1</v>
      </c>
      <c r="S19" s="10"/>
    </row>
    <row r="20" customFormat="false" ht="15" hidden="false" customHeight="false" outlineLevel="0" collapsed="false">
      <c r="A20" s="4" t="n">
        <v>16</v>
      </c>
      <c r="B20" s="5" t="s">
        <v>49</v>
      </c>
      <c r="C20" s="5" t="s">
        <v>60</v>
      </c>
      <c r="D20" s="5" t="s">
        <v>61</v>
      </c>
      <c r="E20" s="6" t="s">
        <v>24</v>
      </c>
      <c r="F20" s="7" t="n">
        <v>848</v>
      </c>
      <c r="G20" s="8" t="n">
        <v>0.35</v>
      </c>
      <c r="H20" s="8" t="n">
        <v>0</v>
      </c>
      <c r="I20" s="7" t="n">
        <v>551.2</v>
      </c>
      <c r="J20" s="9" t="n">
        <f aca="false">F20*(1-G20)*(1-H20)</f>
        <v>551.2</v>
      </c>
      <c r="K20" s="4" t="n">
        <v>3</v>
      </c>
      <c r="L20" s="9" t="n">
        <f aca="false">J20*K20</f>
        <v>1653.6</v>
      </c>
      <c r="M20" s="8" t="n">
        <v>0.18</v>
      </c>
      <c r="N20" s="7" t="n">
        <v>1401.36</v>
      </c>
      <c r="O20" s="9" t="n">
        <f aca="false">ROUND(L20/(1+M20),2)</f>
        <v>1401.36</v>
      </c>
      <c r="P20" s="9" t="n">
        <f aca="false">O20-N20</f>
        <v>0</v>
      </c>
      <c r="Q20" s="9" t="n">
        <f aca="false">ROUND(N20*M20,2)</f>
        <v>252.24</v>
      </c>
      <c r="R20" s="9" t="n">
        <f aca="false">N20+Q20</f>
        <v>1653.6</v>
      </c>
      <c r="S20" s="10"/>
    </row>
    <row r="21" customFormat="false" ht="15" hidden="false" customHeight="false" outlineLevel="0" collapsed="false">
      <c r="A21" s="4" t="n">
        <v>17</v>
      </c>
      <c r="B21" s="5" t="s">
        <v>49</v>
      </c>
      <c r="C21" s="5" t="s">
        <v>62</v>
      </c>
      <c r="D21" s="5" t="s">
        <v>63</v>
      </c>
      <c r="E21" s="6" t="s">
        <v>24</v>
      </c>
      <c r="F21" s="7" t="n">
        <v>300</v>
      </c>
      <c r="G21" s="8" t="n">
        <v>0.35</v>
      </c>
      <c r="H21" s="8" t="n">
        <v>0</v>
      </c>
      <c r="I21" s="7" t="n">
        <v>195</v>
      </c>
      <c r="J21" s="9" t="n">
        <f aca="false">F21*(1-G21)*(1-H21)</f>
        <v>195</v>
      </c>
      <c r="K21" s="4" t="n">
        <v>30</v>
      </c>
      <c r="L21" s="9" t="n">
        <f aca="false">J21*K21</f>
        <v>5850</v>
      </c>
      <c r="M21" s="8" t="n">
        <v>0.18</v>
      </c>
      <c r="N21" s="7" t="n">
        <v>4957.63</v>
      </c>
      <c r="O21" s="9" t="n">
        <f aca="false">ROUND(L21/(1+M21),2)</f>
        <v>4957.63</v>
      </c>
      <c r="P21" s="9" t="n">
        <f aca="false">O21-N21</f>
        <v>0</v>
      </c>
      <c r="Q21" s="9" t="n">
        <f aca="false">ROUND(N21*M21,2)</f>
        <v>892.37</v>
      </c>
      <c r="R21" s="9" t="n">
        <f aca="false">N21+Q21</f>
        <v>5850</v>
      </c>
      <c r="S21" s="10"/>
    </row>
    <row r="22" customFormat="false" ht="15" hidden="false" customHeight="false" outlineLevel="0" collapsed="false">
      <c r="A22" s="4" t="n">
        <v>18</v>
      </c>
      <c r="B22" s="5" t="s">
        <v>49</v>
      </c>
      <c r="C22" s="5" t="s">
        <v>64</v>
      </c>
      <c r="D22" s="5" t="s">
        <v>65</v>
      </c>
      <c r="E22" s="6" t="s">
        <v>24</v>
      </c>
      <c r="F22" s="7" t="n">
        <v>260</v>
      </c>
      <c r="G22" s="8" t="n">
        <v>0.35</v>
      </c>
      <c r="H22" s="8" t="n">
        <v>0</v>
      </c>
      <c r="I22" s="7" t="n">
        <v>169</v>
      </c>
      <c r="J22" s="9" t="n">
        <f aca="false">F22*(1-G22)*(1-H22)</f>
        <v>169</v>
      </c>
      <c r="K22" s="4" t="n">
        <v>30</v>
      </c>
      <c r="L22" s="9" t="n">
        <f aca="false">J22*K22</f>
        <v>5070</v>
      </c>
      <c r="M22" s="8" t="n">
        <v>0.18</v>
      </c>
      <c r="N22" s="7" t="n">
        <v>4296.61</v>
      </c>
      <c r="O22" s="9" t="n">
        <f aca="false">ROUND(L22/(1+M22),2)</f>
        <v>4296.61</v>
      </c>
      <c r="P22" s="9" t="n">
        <f aca="false">O22-N22</f>
        <v>0</v>
      </c>
      <c r="Q22" s="9" t="n">
        <f aca="false">ROUND(N22*M22,2)</f>
        <v>773.39</v>
      </c>
      <c r="R22" s="9" t="n">
        <f aca="false">N22+Q22</f>
        <v>5070</v>
      </c>
      <c r="S22" s="10"/>
    </row>
    <row r="23" customFormat="false" ht="15" hidden="false" customHeight="false" outlineLevel="0" collapsed="false">
      <c r="A23" s="4" t="n">
        <v>19</v>
      </c>
      <c r="B23" s="5" t="s">
        <v>49</v>
      </c>
      <c r="C23" s="5" t="s">
        <v>66</v>
      </c>
      <c r="D23" s="5" t="s">
        <v>67</v>
      </c>
      <c r="E23" s="6" t="s">
        <v>24</v>
      </c>
      <c r="F23" s="7" t="n">
        <v>256</v>
      </c>
      <c r="G23" s="8" t="n">
        <v>0.35</v>
      </c>
      <c r="H23" s="8" t="n">
        <v>0</v>
      </c>
      <c r="I23" s="7" t="n">
        <v>166.4</v>
      </c>
      <c r="J23" s="9" t="n">
        <f aca="false">F23*(1-G23)*(1-H23)</f>
        <v>166.4</v>
      </c>
      <c r="K23" s="4" t="n">
        <v>30</v>
      </c>
      <c r="L23" s="9" t="n">
        <f aca="false">J23*K23</f>
        <v>4992</v>
      </c>
      <c r="M23" s="8" t="n">
        <v>0.18</v>
      </c>
      <c r="N23" s="7" t="n">
        <v>4230.51</v>
      </c>
      <c r="O23" s="9" t="n">
        <f aca="false">ROUND(L23/(1+M23),2)</f>
        <v>4230.51</v>
      </c>
      <c r="P23" s="9" t="n">
        <f aca="false">O23-N23</f>
        <v>0</v>
      </c>
      <c r="Q23" s="9" t="n">
        <f aca="false">ROUND(N23*M23,2)</f>
        <v>761.49</v>
      </c>
      <c r="R23" s="9" t="n">
        <f aca="false">N23+Q23</f>
        <v>4992</v>
      </c>
      <c r="S23" s="10"/>
    </row>
    <row r="24" customFormat="false" ht="15" hidden="false" customHeight="false" outlineLevel="0" collapsed="false">
      <c r="A24" s="4" t="n">
        <v>20</v>
      </c>
      <c r="B24" s="5" t="s">
        <v>49</v>
      </c>
      <c r="C24" s="5" t="s">
        <v>68</v>
      </c>
      <c r="D24" s="5" t="s">
        <v>69</v>
      </c>
      <c r="E24" s="6" t="s">
        <v>24</v>
      </c>
      <c r="F24" s="7" t="n">
        <v>577</v>
      </c>
      <c r="G24" s="8" t="n">
        <v>0.35</v>
      </c>
      <c r="H24" s="8" t="n">
        <v>0</v>
      </c>
      <c r="I24" s="7" t="n">
        <v>375.05</v>
      </c>
      <c r="J24" s="9" t="n">
        <f aca="false">F24*(1-G24)*(1-H24)</f>
        <v>375.05</v>
      </c>
      <c r="K24" s="4" t="n">
        <v>4</v>
      </c>
      <c r="L24" s="9" t="n">
        <f aca="false">J24*K24</f>
        <v>1500.2</v>
      </c>
      <c r="M24" s="8" t="n">
        <v>0.18</v>
      </c>
      <c r="N24" s="7" t="n">
        <v>1271.36</v>
      </c>
      <c r="O24" s="9" t="n">
        <f aca="false">ROUND(L24/(1+M24),2)</f>
        <v>1271.36</v>
      </c>
      <c r="P24" s="9" t="n">
        <f aca="false">O24-N24</f>
        <v>0</v>
      </c>
      <c r="Q24" s="9" t="n">
        <f aca="false">ROUND(N24*M24,2)</f>
        <v>228.84</v>
      </c>
      <c r="R24" s="9" t="n">
        <f aca="false">N24+Q24</f>
        <v>1500.2</v>
      </c>
      <c r="S24" s="10"/>
    </row>
    <row r="25" customFormat="false" ht="15" hidden="false" customHeight="false" outlineLevel="0" collapsed="false">
      <c r="A25" s="4" t="n">
        <v>21</v>
      </c>
      <c r="B25" s="5" t="s">
        <v>49</v>
      </c>
      <c r="C25" s="5" t="s">
        <v>70</v>
      </c>
      <c r="D25" s="5" t="s">
        <v>71</v>
      </c>
      <c r="E25" s="6" t="s">
        <v>24</v>
      </c>
      <c r="F25" s="7" t="n">
        <v>167</v>
      </c>
      <c r="G25" s="8" t="n">
        <v>0.35</v>
      </c>
      <c r="H25" s="8" t="n">
        <v>0</v>
      </c>
      <c r="I25" s="7" t="n">
        <v>108.55</v>
      </c>
      <c r="J25" s="9" t="n">
        <f aca="false">F25*(1-G25)*(1-H25)</f>
        <v>108.55</v>
      </c>
      <c r="K25" s="4" t="n">
        <v>6</v>
      </c>
      <c r="L25" s="9" t="n">
        <f aca="false">J25*K25</f>
        <v>651.3</v>
      </c>
      <c r="M25" s="8" t="n">
        <v>0.18</v>
      </c>
      <c r="N25" s="7" t="n">
        <v>551.95</v>
      </c>
      <c r="O25" s="9" t="n">
        <f aca="false">ROUND(L25/(1+M25),2)</f>
        <v>551.95</v>
      </c>
      <c r="P25" s="9" t="n">
        <f aca="false">O25-N25</f>
        <v>0</v>
      </c>
      <c r="Q25" s="9" t="n">
        <f aca="false">ROUND(N25*M25,2)</f>
        <v>99.35</v>
      </c>
      <c r="R25" s="9" t="n">
        <f aca="false">N25+Q25</f>
        <v>651.3</v>
      </c>
      <c r="S25" s="10"/>
    </row>
    <row r="26" customFormat="false" ht="15" hidden="false" customHeight="false" outlineLevel="0" collapsed="false">
      <c r="A26" s="4" t="n">
        <v>22</v>
      </c>
      <c r="B26" s="5" t="s">
        <v>49</v>
      </c>
      <c r="C26" s="5" t="s">
        <v>72</v>
      </c>
      <c r="D26" s="5" t="s">
        <v>73</v>
      </c>
      <c r="E26" s="6" t="s">
        <v>24</v>
      </c>
      <c r="F26" s="7" t="n">
        <v>250</v>
      </c>
      <c r="G26" s="8" t="n">
        <v>0.35</v>
      </c>
      <c r="H26" s="8" t="n">
        <v>0</v>
      </c>
      <c r="I26" s="7" t="n">
        <v>162.5</v>
      </c>
      <c r="J26" s="9" t="n">
        <f aca="false">F26*(1-G26)*(1-H26)</f>
        <v>162.5</v>
      </c>
      <c r="K26" s="4" t="n">
        <v>20</v>
      </c>
      <c r="L26" s="9" t="n">
        <f aca="false">J26*K26</f>
        <v>3250</v>
      </c>
      <c r="M26" s="8" t="n">
        <v>0.18</v>
      </c>
      <c r="N26" s="7" t="n">
        <v>2754.24</v>
      </c>
      <c r="O26" s="9" t="n">
        <f aca="false">ROUND(L26/(1+M26),2)</f>
        <v>2754.24</v>
      </c>
      <c r="P26" s="9" t="n">
        <f aca="false">O26-N26</f>
        <v>0</v>
      </c>
      <c r="Q26" s="9" t="n">
        <f aca="false">ROUND(N26*M26,2)</f>
        <v>495.76</v>
      </c>
      <c r="R26" s="9" t="n">
        <f aca="false">N26+Q26</f>
        <v>3250</v>
      </c>
      <c r="S26" s="10"/>
    </row>
    <row r="27" customFormat="false" ht="15" hidden="false" customHeight="false" outlineLevel="0" collapsed="false">
      <c r="A27" s="4" t="n">
        <v>23</v>
      </c>
      <c r="B27" s="5" t="s">
        <v>49</v>
      </c>
      <c r="C27" s="5" t="s">
        <v>74</v>
      </c>
      <c r="D27" s="5" t="s">
        <v>75</v>
      </c>
      <c r="E27" s="6" t="s">
        <v>24</v>
      </c>
      <c r="F27" s="7" t="n">
        <v>226</v>
      </c>
      <c r="G27" s="8" t="n">
        <v>0.35</v>
      </c>
      <c r="H27" s="8" t="n">
        <v>0</v>
      </c>
      <c r="I27" s="7" t="n">
        <v>146.9</v>
      </c>
      <c r="J27" s="9" t="n">
        <f aca="false">F27*(1-G27)*(1-H27)</f>
        <v>146.9</v>
      </c>
      <c r="K27" s="4" t="n">
        <v>20</v>
      </c>
      <c r="L27" s="9" t="n">
        <f aca="false">J27*K27</f>
        <v>2938</v>
      </c>
      <c r="M27" s="8" t="n">
        <v>0.18</v>
      </c>
      <c r="N27" s="7" t="n">
        <v>2489.83</v>
      </c>
      <c r="O27" s="9" t="n">
        <f aca="false">ROUND(L27/(1+M27),2)</f>
        <v>2489.83</v>
      </c>
      <c r="P27" s="9" t="n">
        <f aca="false">O27-N27</f>
        <v>0</v>
      </c>
      <c r="Q27" s="9" t="n">
        <f aca="false">ROUND(N27*M27,2)</f>
        <v>448.17</v>
      </c>
      <c r="R27" s="9" t="n">
        <f aca="false">N27+Q27</f>
        <v>2938</v>
      </c>
      <c r="S27" s="10"/>
    </row>
    <row r="28" customFormat="false" ht="15" hidden="false" customHeight="false" outlineLevel="0" collapsed="false">
      <c r="A28" s="11" t="n">
        <v>24</v>
      </c>
      <c r="B28" s="12" t="s">
        <v>76</v>
      </c>
      <c r="C28" s="12" t="s">
        <v>77</v>
      </c>
      <c r="D28" s="12" t="s">
        <v>78</v>
      </c>
      <c r="E28" s="13" t="s">
        <v>79</v>
      </c>
      <c r="F28" s="14" t="n">
        <v>1538</v>
      </c>
      <c r="G28" s="15" t="n">
        <v>0.28</v>
      </c>
      <c r="H28" s="15" t="n">
        <v>0</v>
      </c>
      <c r="I28" s="14" t="n">
        <v>1107.36</v>
      </c>
      <c r="J28" s="16" t="n">
        <f aca="false">F28*(1-G28)*(1-H28)</f>
        <v>1107.36</v>
      </c>
      <c r="K28" s="11" t="n">
        <v>1</v>
      </c>
      <c r="L28" s="16" t="n">
        <f aca="false">J28*K28</f>
        <v>1107.36</v>
      </c>
      <c r="M28" s="15" t="n">
        <v>0.18</v>
      </c>
      <c r="N28" s="14" t="n">
        <v>938.44</v>
      </c>
      <c r="O28" s="16" t="n">
        <f aca="false">ROUND(L28/(1+M28),2)</f>
        <v>938.44</v>
      </c>
      <c r="P28" s="16" t="n">
        <f aca="false">O28-N28</f>
        <v>0</v>
      </c>
      <c r="Q28" s="16" t="n">
        <f aca="false">ROUND(N28*M28,2)</f>
        <v>168.92</v>
      </c>
      <c r="R28" s="16" t="n">
        <f aca="false">N28+Q28</f>
        <v>1107.36</v>
      </c>
      <c r="S28" s="17"/>
    </row>
    <row r="29" customFormat="false" ht="15" hidden="false" customHeight="false" outlineLevel="0" collapsed="false">
      <c r="A29" s="4" t="n">
        <v>25</v>
      </c>
      <c r="B29" s="5" t="s">
        <v>76</v>
      </c>
      <c r="C29" s="5" t="s">
        <v>80</v>
      </c>
      <c r="D29" s="5" t="s">
        <v>81</v>
      </c>
      <c r="E29" s="6" t="s">
        <v>79</v>
      </c>
      <c r="F29" s="7" t="n">
        <v>322</v>
      </c>
      <c r="G29" s="8" t="n">
        <v>0.28</v>
      </c>
      <c r="H29" s="8" t="n">
        <v>0</v>
      </c>
      <c r="I29" s="7" t="n">
        <v>231.84</v>
      </c>
      <c r="J29" s="9" t="n">
        <f aca="false">F29*(1-G29)*(1-H29)</f>
        <v>231.84</v>
      </c>
      <c r="K29" s="4" t="n">
        <v>2</v>
      </c>
      <c r="L29" s="9" t="n">
        <f aca="false">J29*K29</f>
        <v>463.68</v>
      </c>
      <c r="M29" s="8" t="n">
        <v>0.18</v>
      </c>
      <c r="N29" s="7" t="n">
        <v>392.95</v>
      </c>
      <c r="O29" s="9" t="n">
        <f aca="false">ROUND(L29/(1+M29),2)</f>
        <v>392.95</v>
      </c>
      <c r="P29" s="9" t="n">
        <f aca="false">O29-N29</f>
        <v>0</v>
      </c>
      <c r="Q29" s="9" t="n">
        <f aca="false">ROUND(N29*M29,2)</f>
        <v>70.73</v>
      </c>
      <c r="R29" s="9" t="n">
        <f aca="false">N29+Q29</f>
        <v>463.68</v>
      </c>
      <c r="S29" s="10"/>
    </row>
    <row r="30" customFormat="false" ht="15" hidden="false" customHeight="false" outlineLevel="0" collapsed="false">
      <c r="A30" s="4" t="n">
        <v>26</v>
      </c>
      <c r="B30" s="5" t="s">
        <v>76</v>
      </c>
      <c r="C30" s="5" t="s">
        <v>82</v>
      </c>
      <c r="D30" s="5" t="s">
        <v>83</v>
      </c>
      <c r="E30" s="6" t="s">
        <v>79</v>
      </c>
      <c r="F30" s="7" t="n">
        <v>1151</v>
      </c>
      <c r="G30" s="8" t="n">
        <v>0.28</v>
      </c>
      <c r="H30" s="8" t="n">
        <v>0</v>
      </c>
      <c r="I30" s="7" t="n">
        <v>828.72</v>
      </c>
      <c r="J30" s="9" t="n">
        <f aca="false">F30*(1-G30)*(1-H30)</f>
        <v>828.72</v>
      </c>
      <c r="K30" s="4" t="n">
        <v>2</v>
      </c>
      <c r="L30" s="9" t="n">
        <f aca="false">J30*K30</f>
        <v>1657.44</v>
      </c>
      <c r="M30" s="8" t="n">
        <v>0.18</v>
      </c>
      <c r="N30" s="7" t="n">
        <v>1404.61</v>
      </c>
      <c r="O30" s="9" t="n">
        <f aca="false">ROUND(L30/(1+M30),2)</f>
        <v>1404.61</v>
      </c>
      <c r="P30" s="9" t="n">
        <f aca="false">O30-N30</f>
        <v>0</v>
      </c>
      <c r="Q30" s="9" t="n">
        <f aca="false">ROUND(N30*M30,2)</f>
        <v>252.83</v>
      </c>
      <c r="R30" s="9" t="n">
        <f aca="false">N30+Q30</f>
        <v>1657.44</v>
      </c>
      <c r="S30" s="10"/>
    </row>
    <row r="31" customFormat="false" ht="15" hidden="false" customHeight="false" outlineLevel="0" collapsed="false">
      <c r="A31" s="4" t="n">
        <v>27</v>
      </c>
      <c r="B31" s="5" t="s">
        <v>76</v>
      </c>
      <c r="C31" s="5" t="s">
        <v>84</v>
      </c>
      <c r="D31" s="5" t="s">
        <v>85</v>
      </c>
      <c r="E31" s="6" t="s">
        <v>79</v>
      </c>
      <c r="F31" s="7" t="n">
        <v>375</v>
      </c>
      <c r="G31" s="8" t="n">
        <v>0.28</v>
      </c>
      <c r="H31" s="8" t="n">
        <v>0</v>
      </c>
      <c r="I31" s="7" t="n">
        <v>270</v>
      </c>
      <c r="J31" s="9" t="n">
        <f aca="false">F31*(1-G31)*(1-H31)</f>
        <v>270</v>
      </c>
      <c r="K31" s="4" t="n">
        <v>2</v>
      </c>
      <c r="L31" s="9" t="n">
        <f aca="false">J31*K31</f>
        <v>540</v>
      </c>
      <c r="M31" s="8" t="n">
        <v>0.18</v>
      </c>
      <c r="N31" s="7" t="n">
        <v>457.63</v>
      </c>
      <c r="O31" s="9" t="n">
        <f aca="false">ROUND(L31/(1+M31),2)</f>
        <v>457.63</v>
      </c>
      <c r="P31" s="9" t="n">
        <f aca="false">O31-N31</f>
        <v>0</v>
      </c>
      <c r="Q31" s="9" t="n">
        <f aca="false">ROUND(N31*M31,2)</f>
        <v>82.37</v>
      </c>
      <c r="R31" s="9" t="n">
        <f aca="false">N31+Q31</f>
        <v>540</v>
      </c>
      <c r="S31" s="10"/>
    </row>
    <row r="32" customFormat="false" ht="15" hidden="false" customHeight="false" outlineLevel="0" collapsed="false">
      <c r="A32" s="4" t="n">
        <v>28</v>
      </c>
      <c r="B32" s="5" t="s">
        <v>76</v>
      </c>
      <c r="C32" s="5" t="s">
        <v>86</v>
      </c>
      <c r="D32" s="5" t="s">
        <v>87</v>
      </c>
      <c r="E32" s="6" t="s">
        <v>79</v>
      </c>
      <c r="F32" s="7" t="n">
        <v>1296</v>
      </c>
      <c r="G32" s="8" t="n">
        <v>0.28</v>
      </c>
      <c r="H32" s="8" t="n">
        <v>0</v>
      </c>
      <c r="I32" s="7" t="n">
        <v>933.12</v>
      </c>
      <c r="J32" s="9" t="n">
        <f aca="false">F32*(1-G32)*(1-H32)</f>
        <v>933.12</v>
      </c>
      <c r="K32" s="4" t="n">
        <v>1</v>
      </c>
      <c r="L32" s="9" t="n">
        <f aca="false">J32*K32</f>
        <v>933.12</v>
      </c>
      <c r="M32" s="8" t="n">
        <v>0.18</v>
      </c>
      <c r="N32" s="7" t="n">
        <v>790.78</v>
      </c>
      <c r="O32" s="9" t="n">
        <f aca="false">ROUND(L32/(1+M32),2)</f>
        <v>790.78</v>
      </c>
      <c r="P32" s="9" t="n">
        <f aca="false">O32-N32</f>
        <v>0</v>
      </c>
      <c r="Q32" s="9" t="n">
        <f aca="false">ROUND(N32*M32,2)</f>
        <v>142.34</v>
      </c>
      <c r="R32" s="9" t="n">
        <f aca="false">N32+Q32</f>
        <v>933.12</v>
      </c>
      <c r="S32" s="10"/>
    </row>
    <row r="33" customFormat="false" ht="15" hidden="false" customHeight="false" outlineLevel="0" collapsed="false">
      <c r="A33" s="4" t="n">
        <v>29</v>
      </c>
      <c r="B33" s="5" t="s">
        <v>76</v>
      </c>
      <c r="C33" s="5" t="s">
        <v>88</v>
      </c>
      <c r="D33" s="5" t="s">
        <v>89</v>
      </c>
      <c r="E33" s="6" t="s">
        <v>79</v>
      </c>
      <c r="F33" s="7" t="n">
        <v>1410</v>
      </c>
      <c r="G33" s="8" t="n">
        <v>0.28</v>
      </c>
      <c r="H33" s="8" t="n">
        <v>0</v>
      </c>
      <c r="I33" s="7" t="n">
        <v>1015.2</v>
      </c>
      <c r="J33" s="9" t="n">
        <f aca="false">F33*(1-G33)*(1-H33)</f>
        <v>1015.2</v>
      </c>
      <c r="K33" s="4" t="n">
        <v>2</v>
      </c>
      <c r="L33" s="9" t="n">
        <f aca="false">J33*K33</f>
        <v>2030.4</v>
      </c>
      <c r="M33" s="8" t="n">
        <v>0.18</v>
      </c>
      <c r="N33" s="7" t="n">
        <v>1720.68</v>
      </c>
      <c r="O33" s="9" t="n">
        <f aca="false">ROUND(L33/(1+M33),2)</f>
        <v>1720.68</v>
      </c>
      <c r="P33" s="9" t="n">
        <f aca="false">O33-N33</f>
        <v>0</v>
      </c>
      <c r="Q33" s="9" t="n">
        <f aca="false">ROUND(N33*M33,2)</f>
        <v>309.72</v>
      </c>
      <c r="R33" s="9" t="n">
        <f aca="false">N33+Q33</f>
        <v>2030.4</v>
      </c>
      <c r="S33" s="10"/>
    </row>
    <row r="34" customFormat="false" ht="15" hidden="false" customHeight="false" outlineLevel="0" collapsed="false">
      <c r="A34" s="4" t="n">
        <v>30</v>
      </c>
      <c r="B34" s="5" t="s">
        <v>76</v>
      </c>
      <c r="C34" s="5" t="s">
        <v>90</v>
      </c>
      <c r="D34" s="5" t="s">
        <v>91</v>
      </c>
      <c r="E34" s="6" t="s">
        <v>79</v>
      </c>
      <c r="F34" s="7" t="n">
        <v>900</v>
      </c>
      <c r="G34" s="8" t="n">
        <v>0.28</v>
      </c>
      <c r="H34" s="8" t="n">
        <v>0</v>
      </c>
      <c r="I34" s="7" t="n">
        <v>648</v>
      </c>
      <c r="J34" s="9" t="n">
        <f aca="false">F34*(1-G34)*(1-H34)</f>
        <v>648</v>
      </c>
      <c r="K34" s="4" t="n">
        <v>1</v>
      </c>
      <c r="L34" s="9" t="n">
        <f aca="false">J34*K34</f>
        <v>648</v>
      </c>
      <c r="M34" s="8" t="n">
        <v>0.18</v>
      </c>
      <c r="N34" s="7" t="n">
        <v>549.15</v>
      </c>
      <c r="O34" s="9" t="n">
        <f aca="false">ROUND(L34/(1+M34),2)</f>
        <v>549.15</v>
      </c>
      <c r="P34" s="9" t="n">
        <f aca="false">O34-N34</f>
        <v>0</v>
      </c>
      <c r="Q34" s="9" t="n">
        <f aca="false">ROUND(N34*M34,2)</f>
        <v>98.85</v>
      </c>
      <c r="R34" s="9" t="n">
        <f aca="false">N34+Q34</f>
        <v>648</v>
      </c>
      <c r="S34" s="10"/>
    </row>
    <row r="35" customFormat="false" ht="15" hidden="false" customHeight="false" outlineLevel="0" collapsed="false">
      <c r="A35" s="11" t="n">
        <v>31</v>
      </c>
      <c r="B35" s="12" t="s">
        <v>92</v>
      </c>
      <c r="C35" s="12" t="s">
        <v>93</v>
      </c>
      <c r="D35" s="12" t="s">
        <v>94</v>
      </c>
      <c r="E35" s="13" t="s">
        <v>32</v>
      </c>
      <c r="F35" s="14" t="n">
        <v>780</v>
      </c>
      <c r="G35" s="15" t="n">
        <v>0</v>
      </c>
      <c r="H35" s="15" t="n">
        <v>0</v>
      </c>
      <c r="I35" s="14" t="n">
        <v>780</v>
      </c>
      <c r="J35" s="16" t="n">
        <f aca="false">F35*(1-G35)*(1-H35)</f>
        <v>780</v>
      </c>
      <c r="K35" s="11" t="n">
        <v>3</v>
      </c>
      <c r="L35" s="16" t="n">
        <f aca="false">J35*K35</f>
        <v>2340</v>
      </c>
      <c r="M35" s="15" t="n">
        <v>0.18</v>
      </c>
      <c r="N35" s="14" t="n">
        <v>1983.05</v>
      </c>
      <c r="O35" s="16" t="n">
        <f aca="false">ROUND(L35/(1+M35),2)</f>
        <v>1983.05</v>
      </c>
      <c r="P35" s="16" t="n">
        <f aca="false">O35-N35</f>
        <v>0</v>
      </c>
      <c r="Q35" s="16" t="n">
        <f aca="false">ROUND(N35*M35,2)</f>
        <v>356.95</v>
      </c>
      <c r="R35" s="16" t="n">
        <f aca="false">N35+Q35</f>
        <v>2340</v>
      </c>
      <c r="S35" s="17"/>
    </row>
    <row r="36" customFormat="false" ht="15" hidden="false" customHeight="false" outlineLevel="0" collapsed="false">
      <c r="A36" s="11" t="n">
        <v>32</v>
      </c>
      <c r="B36" s="12" t="s">
        <v>95</v>
      </c>
      <c r="C36" s="12" t="s">
        <v>96</v>
      </c>
      <c r="D36" s="12" t="s">
        <v>97</v>
      </c>
      <c r="E36" s="13" t="s">
        <v>37</v>
      </c>
      <c r="F36" s="14" t="n">
        <v>54</v>
      </c>
      <c r="G36" s="15" t="n">
        <v>0.43</v>
      </c>
      <c r="H36" s="15" t="n">
        <v>0</v>
      </c>
      <c r="I36" s="14" t="n">
        <v>30.78</v>
      </c>
      <c r="J36" s="16" t="n">
        <f aca="false">F36*(1-G36)*(1-H36)</f>
        <v>30.78</v>
      </c>
      <c r="K36" s="11" t="n">
        <v>10</v>
      </c>
      <c r="L36" s="16" t="n">
        <f aca="false">J36*K36</f>
        <v>307.8</v>
      </c>
      <c r="M36" s="15" t="n">
        <v>0.18</v>
      </c>
      <c r="N36" s="14" t="n">
        <v>260.85</v>
      </c>
      <c r="O36" s="16" t="n">
        <f aca="false">ROUND(L36/(1+M36),2)</f>
        <v>260.85</v>
      </c>
      <c r="P36" s="16" t="n">
        <f aca="false">O36-N36</f>
        <v>0</v>
      </c>
      <c r="Q36" s="16" t="n">
        <f aca="false">ROUND(N36*M36,2)</f>
        <v>46.95</v>
      </c>
      <c r="R36" s="16" t="n">
        <f aca="false">N36+Q36</f>
        <v>307.8</v>
      </c>
      <c r="S36" s="17"/>
    </row>
    <row r="37" customFormat="false" ht="15" hidden="false" customHeight="false" outlineLevel="0" collapsed="false">
      <c r="A37" s="4" t="n">
        <v>33</v>
      </c>
      <c r="B37" s="5" t="s">
        <v>95</v>
      </c>
      <c r="C37" s="5" t="s">
        <v>98</v>
      </c>
      <c r="D37" s="5" t="s">
        <v>99</v>
      </c>
      <c r="E37" s="6" t="s">
        <v>37</v>
      </c>
      <c r="F37" s="7" t="n">
        <v>64</v>
      </c>
      <c r="G37" s="8" t="n">
        <v>0.43</v>
      </c>
      <c r="H37" s="8" t="n">
        <v>0</v>
      </c>
      <c r="I37" s="7" t="n">
        <v>36.48</v>
      </c>
      <c r="J37" s="9" t="n">
        <f aca="false">F37*(1-G37)*(1-H37)</f>
        <v>36.48</v>
      </c>
      <c r="K37" s="4" t="n">
        <v>10</v>
      </c>
      <c r="L37" s="9" t="n">
        <f aca="false">J37*K37</f>
        <v>364.8</v>
      </c>
      <c r="M37" s="8" t="n">
        <v>0.18</v>
      </c>
      <c r="N37" s="7" t="n">
        <v>309.15</v>
      </c>
      <c r="O37" s="9" t="n">
        <f aca="false">ROUND(L37/(1+M37),2)</f>
        <v>309.15</v>
      </c>
      <c r="P37" s="9" t="n">
        <f aca="false">O37-N37</f>
        <v>0</v>
      </c>
      <c r="Q37" s="9" t="n">
        <f aca="false">ROUND(N37*M37,2)</f>
        <v>55.65</v>
      </c>
      <c r="R37" s="9" t="n">
        <f aca="false">N37+Q37</f>
        <v>364.8</v>
      </c>
      <c r="S37" s="10"/>
    </row>
    <row r="38" customFormat="false" ht="15" hidden="false" customHeight="false" outlineLevel="0" collapsed="false">
      <c r="A38" s="11" t="n">
        <v>34</v>
      </c>
      <c r="B38" s="12" t="s">
        <v>100</v>
      </c>
      <c r="C38" s="12" t="s">
        <v>101</v>
      </c>
      <c r="D38" s="12" t="s">
        <v>102</v>
      </c>
      <c r="E38" s="13" t="s">
        <v>37</v>
      </c>
      <c r="F38" s="14" t="n">
        <v>750</v>
      </c>
      <c r="G38" s="15" t="n">
        <v>0.43</v>
      </c>
      <c r="H38" s="15" t="n">
        <v>0</v>
      </c>
      <c r="I38" s="14" t="n">
        <v>427.5</v>
      </c>
      <c r="J38" s="16" t="n">
        <f aca="false">F38*(1-G38)*(1-H38)</f>
        <v>427.5</v>
      </c>
      <c r="K38" s="11" t="n">
        <v>5</v>
      </c>
      <c r="L38" s="16" t="n">
        <f aca="false">J38*K38</f>
        <v>2137.5</v>
      </c>
      <c r="M38" s="15" t="n">
        <v>0.18</v>
      </c>
      <c r="N38" s="14" t="n">
        <v>1811.44</v>
      </c>
      <c r="O38" s="16" t="n">
        <f aca="false">ROUND(L38/(1+M38),2)</f>
        <v>1811.44</v>
      </c>
      <c r="P38" s="16" t="n">
        <f aca="false">O38-N38</f>
        <v>0</v>
      </c>
      <c r="Q38" s="16" t="n">
        <f aca="false">ROUND(N38*M38,2)</f>
        <v>326.06</v>
      </c>
      <c r="R38" s="16" t="n">
        <f aca="false">N38+Q38</f>
        <v>2137.5</v>
      </c>
      <c r="S38" s="17"/>
    </row>
    <row r="39" customFormat="false" ht="15" hidden="false" customHeight="false" outlineLevel="0" collapsed="false">
      <c r="A39" s="4" t="n">
        <v>35</v>
      </c>
      <c r="B39" s="5" t="s">
        <v>100</v>
      </c>
      <c r="C39" s="5" t="s">
        <v>103</v>
      </c>
      <c r="D39" s="5" t="s">
        <v>104</v>
      </c>
      <c r="E39" s="6" t="s">
        <v>37</v>
      </c>
      <c r="F39" s="7" t="n">
        <v>630</v>
      </c>
      <c r="G39" s="8" t="n">
        <v>0.43</v>
      </c>
      <c r="H39" s="8" t="n">
        <v>0</v>
      </c>
      <c r="I39" s="7" t="n">
        <v>359.1</v>
      </c>
      <c r="J39" s="9" t="n">
        <f aca="false">F39*(1-G39)*(1-H39)</f>
        <v>359.1</v>
      </c>
      <c r="K39" s="4" t="n">
        <v>2</v>
      </c>
      <c r="L39" s="9" t="n">
        <f aca="false">J39*K39</f>
        <v>718.2</v>
      </c>
      <c r="M39" s="8" t="n">
        <v>0.18</v>
      </c>
      <c r="N39" s="7" t="n">
        <v>608.64</v>
      </c>
      <c r="O39" s="9" t="n">
        <f aca="false">ROUND(L39/(1+M39),2)</f>
        <v>608.64</v>
      </c>
      <c r="P39" s="9" t="n">
        <f aca="false">O39-N39</f>
        <v>0</v>
      </c>
      <c r="Q39" s="9" t="n">
        <f aca="false">ROUND(N39*M39,2)</f>
        <v>109.56</v>
      </c>
      <c r="R39" s="9" t="n">
        <f aca="false">N39+Q39</f>
        <v>718.2</v>
      </c>
      <c r="S39" s="10"/>
    </row>
    <row r="40" customFormat="false" ht="15" hidden="false" customHeight="false" outlineLevel="0" collapsed="false">
      <c r="A40" s="11" t="n">
        <v>36</v>
      </c>
      <c r="B40" s="12" t="s">
        <v>105</v>
      </c>
      <c r="C40" s="12" t="s">
        <v>106</v>
      </c>
      <c r="D40" s="12" t="s">
        <v>107</v>
      </c>
      <c r="E40" s="13" t="s">
        <v>108</v>
      </c>
      <c r="F40" s="14" t="n">
        <v>283</v>
      </c>
      <c r="G40" s="15" t="n">
        <v>0.4</v>
      </c>
      <c r="H40" s="15" t="n">
        <v>0</v>
      </c>
      <c r="I40" s="14" t="n">
        <v>169.8</v>
      </c>
      <c r="J40" s="16" t="n">
        <f aca="false">F40*(1-G40)*(1-H40)</f>
        <v>169.8</v>
      </c>
      <c r="K40" s="11" t="n">
        <v>5</v>
      </c>
      <c r="L40" s="16" t="n">
        <f aca="false">J40*K40</f>
        <v>849</v>
      </c>
      <c r="M40" s="15" t="n">
        <v>0.18</v>
      </c>
      <c r="N40" s="14" t="n">
        <v>719.49</v>
      </c>
      <c r="O40" s="16" t="n">
        <f aca="false">ROUND(L40/(1+M40),2)</f>
        <v>719.49</v>
      </c>
      <c r="P40" s="16" t="n">
        <f aca="false">O40-N40</f>
        <v>0</v>
      </c>
      <c r="Q40" s="16" t="n">
        <f aca="false">ROUND(N40*M40,2)</f>
        <v>129.51</v>
      </c>
      <c r="R40" s="16" t="n">
        <f aca="false">N40+Q40</f>
        <v>849</v>
      </c>
      <c r="S40" s="17"/>
    </row>
    <row r="41" customFormat="false" ht="15" hidden="false" customHeight="false" outlineLevel="0" collapsed="false">
      <c r="A41" s="4" t="n">
        <v>37</v>
      </c>
      <c r="B41" s="5" t="s">
        <v>105</v>
      </c>
      <c r="C41" s="5" t="s">
        <v>109</v>
      </c>
      <c r="D41" s="5" t="s">
        <v>110</v>
      </c>
      <c r="E41" s="6" t="s">
        <v>108</v>
      </c>
      <c r="F41" s="7" t="n">
        <v>123</v>
      </c>
      <c r="G41" s="8" t="n">
        <v>0.4</v>
      </c>
      <c r="H41" s="8" t="n">
        <v>0</v>
      </c>
      <c r="I41" s="7" t="n">
        <v>73.8</v>
      </c>
      <c r="J41" s="9" t="n">
        <f aca="false">F41*(1-G41)*(1-H41)</f>
        <v>73.8</v>
      </c>
      <c r="K41" s="4" t="n">
        <v>10</v>
      </c>
      <c r="L41" s="9" t="n">
        <f aca="false">J41*K41</f>
        <v>738</v>
      </c>
      <c r="M41" s="8" t="n">
        <v>0.18</v>
      </c>
      <c r="N41" s="7" t="n">
        <v>625.42</v>
      </c>
      <c r="O41" s="9" t="n">
        <f aca="false">ROUND(L41/(1+M41),2)</f>
        <v>625.42</v>
      </c>
      <c r="P41" s="9" t="n">
        <f aca="false">O41-N41</f>
        <v>0</v>
      </c>
      <c r="Q41" s="9" t="n">
        <f aca="false">ROUND(N41*M41,2)</f>
        <v>112.58</v>
      </c>
      <c r="R41" s="9" t="n">
        <f aca="false">N41+Q41</f>
        <v>738</v>
      </c>
      <c r="S41" s="10"/>
    </row>
    <row r="42" customFormat="false" ht="15" hidden="false" customHeight="false" outlineLevel="0" collapsed="false">
      <c r="A42" s="4" t="n">
        <v>38</v>
      </c>
      <c r="B42" s="5" t="s">
        <v>105</v>
      </c>
      <c r="C42" s="5" t="s">
        <v>111</v>
      </c>
      <c r="D42" s="5" t="s">
        <v>112</v>
      </c>
      <c r="E42" s="6" t="s">
        <v>108</v>
      </c>
      <c r="F42" s="7" t="n">
        <v>147</v>
      </c>
      <c r="G42" s="8" t="n">
        <v>0.4</v>
      </c>
      <c r="H42" s="8" t="n">
        <v>0</v>
      </c>
      <c r="I42" s="7" t="n">
        <v>88.2</v>
      </c>
      <c r="J42" s="9" t="n">
        <f aca="false">F42*(1-G42)*(1-H42)</f>
        <v>88.2</v>
      </c>
      <c r="K42" s="4" t="n">
        <v>5</v>
      </c>
      <c r="L42" s="9" t="n">
        <f aca="false">J42*K42</f>
        <v>441</v>
      </c>
      <c r="M42" s="8" t="n">
        <v>0.18</v>
      </c>
      <c r="N42" s="7" t="n">
        <v>373.73</v>
      </c>
      <c r="O42" s="9" t="n">
        <f aca="false">ROUND(L42/(1+M42),2)</f>
        <v>373.73</v>
      </c>
      <c r="P42" s="9" t="n">
        <f aca="false">O42-N42</f>
        <v>0</v>
      </c>
      <c r="Q42" s="9" t="n">
        <f aca="false">ROUND(N42*M42,2)</f>
        <v>67.27</v>
      </c>
      <c r="R42" s="9" t="n">
        <f aca="false">N42+Q42</f>
        <v>441</v>
      </c>
      <c r="S42" s="10"/>
    </row>
    <row r="43" customFormat="false" ht="15" hidden="false" customHeight="false" outlineLevel="0" collapsed="false">
      <c r="A43" s="4" t="n">
        <v>39</v>
      </c>
      <c r="B43" s="5" t="s">
        <v>105</v>
      </c>
      <c r="C43" s="5" t="s">
        <v>113</v>
      </c>
      <c r="D43" s="5" t="s">
        <v>114</v>
      </c>
      <c r="E43" s="6" t="s">
        <v>108</v>
      </c>
      <c r="F43" s="7" t="n">
        <v>128</v>
      </c>
      <c r="G43" s="8" t="n">
        <v>0.4</v>
      </c>
      <c r="H43" s="8" t="n">
        <v>0</v>
      </c>
      <c r="I43" s="7" t="n">
        <v>76.8</v>
      </c>
      <c r="J43" s="9" t="n">
        <f aca="false">F43*(1-G43)*(1-H43)</f>
        <v>76.8</v>
      </c>
      <c r="K43" s="4" t="n">
        <v>5</v>
      </c>
      <c r="L43" s="9" t="n">
        <f aca="false">J43*K43</f>
        <v>384</v>
      </c>
      <c r="M43" s="8" t="n">
        <v>0.18</v>
      </c>
      <c r="N43" s="7" t="n">
        <v>325.42</v>
      </c>
      <c r="O43" s="9" t="n">
        <f aca="false">ROUND(L43/(1+M43),2)</f>
        <v>325.42</v>
      </c>
      <c r="P43" s="9" t="n">
        <f aca="false">O43-N43</f>
        <v>0</v>
      </c>
      <c r="Q43" s="9" t="n">
        <f aca="false">ROUND(N43*M43,2)</f>
        <v>58.58</v>
      </c>
      <c r="R43" s="9" t="n">
        <f aca="false">N43+Q43</f>
        <v>384</v>
      </c>
      <c r="S43" s="10"/>
    </row>
    <row r="44" customFormat="false" ht="15" hidden="false" customHeight="false" outlineLevel="0" collapsed="false">
      <c r="A44" s="11" t="n">
        <v>40</v>
      </c>
      <c r="B44" s="12" t="s">
        <v>115</v>
      </c>
      <c r="C44" s="12" t="s">
        <v>116</v>
      </c>
      <c r="D44" s="12" t="s">
        <v>117</v>
      </c>
      <c r="E44" s="13" t="s">
        <v>24</v>
      </c>
      <c r="F44" s="14" t="n">
        <v>160</v>
      </c>
      <c r="G44" s="15" t="n">
        <v>0.28</v>
      </c>
      <c r="H44" s="15" t="n">
        <v>0</v>
      </c>
      <c r="I44" s="14" t="n">
        <v>115.2</v>
      </c>
      <c r="J44" s="16" t="n">
        <f aca="false">F44*(1-G44)*(1-H44)</f>
        <v>115.2</v>
      </c>
      <c r="K44" s="11" t="n">
        <v>40</v>
      </c>
      <c r="L44" s="16" t="n">
        <f aca="false">J44*K44</f>
        <v>4608</v>
      </c>
      <c r="M44" s="15" t="n">
        <v>0.18</v>
      </c>
      <c r="N44" s="14" t="n">
        <v>3905.08</v>
      </c>
      <c r="O44" s="16" t="n">
        <f aca="false">ROUND(L44/(1+M44),2)</f>
        <v>3905.08</v>
      </c>
      <c r="P44" s="16" t="n">
        <f aca="false">O44-N44</f>
        <v>0</v>
      </c>
      <c r="Q44" s="16" t="n">
        <f aca="false">ROUND(N44*M44,2)</f>
        <v>702.91</v>
      </c>
      <c r="R44" s="16" t="n">
        <f aca="false">N44+Q44</f>
        <v>4607.99</v>
      </c>
      <c r="S44" s="17"/>
    </row>
    <row r="45" customFormat="false" ht="15" hidden="false" customHeight="false" outlineLevel="0" collapsed="false">
      <c r="A45" s="11" t="n">
        <v>41</v>
      </c>
      <c r="B45" s="12" t="s">
        <v>118</v>
      </c>
      <c r="C45" s="12" t="s">
        <v>119</v>
      </c>
      <c r="D45" s="12" t="s">
        <v>120</v>
      </c>
      <c r="E45" s="13" t="s">
        <v>32</v>
      </c>
      <c r="F45" s="14" t="n">
        <v>149</v>
      </c>
      <c r="G45" s="15" t="n">
        <v>0.4</v>
      </c>
      <c r="H45" s="15" t="n">
        <v>0</v>
      </c>
      <c r="I45" s="14" t="n">
        <v>89.4</v>
      </c>
      <c r="J45" s="16" t="n">
        <f aca="false">F45*(1-G45)*(1-H45)</f>
        <v>89.4</v>
      </c>
      <c r="K45" s="11" t="n">
        <v>2</v>
      </c>
      <c r="L45" s="16" t="n">
        <f aca="false">J45*K45</f>
        <v>178.8</v>
      </c>
      <c r="M45" s="15" t="n">
        <v>0.18</v>
      </c>
      <c r="N45" s="14" t="n">
        <v>151.53</v>
      </c>
      <c r="O45" s="16" t="n">
        <f aca="false">ROUND(L45/(1+M45),2)</f>
        <v>151.53</v>
      </c>
      <c r="P45" s="16" t="n">
        <f aca="false">O45-N45</f>
        <v>0</v>
      </c>
      <c r="Q45" s="16" t="n">
        <f aca="false">ROUND(N45*M45,2)</f>
        <v>27.28</v>
      </c>
      <c r="R45" s="16" t="n">
        <f aca="false">N45+Q45</f>
        <v>178.81</v>
      </c>
      <c r="S45" s="17"/>
    </row>
    <row r="46" customFormat="false" ht="15" hidden="false" customHeight="false" outlineLevel="0" collapsed="false">
      <c r="A46" s="4" t="n">
        <v>42</v>
      </c>
      <c r="B46" s="5" t="s">
        <v>118</v>
      </c>
      <c r="C46" s="5" t="s">
        <v>121</v>
      </c>
      <c r="D46" s="5" t="s">
        <v>122</v>
      </c>
      <c r="E46" s="6" t="s">
        <v>123</v>
      </c>
      <c r="F46" s="7" t="n">
        <v>159</v>
      </c>
      <c r="G46" s="8" t="n">
        <v>0.4</v>
      </c>
      <c r="H46" s="8" t="n">
        <v>0</v>
      </c>
      <c r="I46" s="7" t="n">
        <v>95.4</v>
      </c>
      <c r="J46" s="9" t="n">
        <f aca="false">F46*(1-G46)*(1-H46)</f>
        <v>95.4</v>
      </c>
      <c r="K46" s="4" t="n">
        <v>5</v>
      </c>
      <c r="L46" s="9" t="n">
        <f aca="false">J46*K46</f>
        <v>477</v>
      </c>
      <c r="M46" s="8" t="n">
        <v>0.18</v>
      </c>
      <c r="N46" s="7" t="n">
        <v>404.24</v>
      </c>
      <c r="O46" s="9" t="n">
        <f aca="false">ROUND(L46/(1+M46),2)</f>
        <v>404.24</v>
      </c>
      <c r="P46" s="9" t="n">
        <f aca="false">O46-N46</f>
        <v>0</v>
      </c>
      <c r="Q46" s="9" t="n">
        <f aca="false">ROUND(N46*M46,2)</f>
        <v>72.76</v>
      </c>
      <c r="R46" s="9" t="n">
        <f aca="false">N46+Q46</f>
        <v>477</v>
      </c>
      <c r="S46" s="10"/>
    </row>
    <row r="47" customFormat="false" ht="15" hidden="false" customHeight="false" outlineLevel="0" collapsed="false">
      <c r="A47" s="4" t="n">
        <v>43</v>
      </c>
      <c r="B47" s="5" t="s">
        <v>118</v>
      </c>
      <c r="C47" s="5" t="s">
        <v>124</v>
      </c>
      <c r="D47" s="5" t="s">
        <v>125</v>
      </c>
      <c r="E47" s="6" t="s">
        <v>32</v>
      </c>
      <c r="F47" s="7" t="n">
        <v>64</v>
      </c>
      <c r="G47" s="8" t="n">
        <v>0.4</v>
      </c>
      <c r="H47" s="8" t="n">
        <v>0</v>
      </c>
      <c r="I47" s="7" t="n">
        <v>38.4</v>
      </c>
      <c r="J47" s="9" t="n">
        <f aca="false">F47*(1-G47)*(1-H47)</f>
        <v>38.4</v>
      </c>
      <c r="K47" s="4" t="n">
        <v>15</v>
      </c>
      <c r="L47" s="9" t="n">
        <f aca="false">J47*K47</f>
        <v>576</v>
      </c>
      <c r="M47" s="8" t="n">
        <v>0.18</v>
      </c>
      <c r="N47" s="7" t="n">
        <v>488.14</v>
      </c>
      <c r="O47" s="9" t="n">
        <f aca="false">ROUND(L47/(1+M47),2)</f>
        <v>488.14</v>
      </c>
      <c r="P47" s="9" t="n">
        <f aca="false">O47-N47</f>
        <v>0</v>
      </c>
      <c r="Q47" s="9" t="n">
        <f aca="false">ROUND(N47*M47,2)</f>
        <v>87.87</v>
      </c>
      <c r="R47" s="9" t="n">
        <f aca="false">N47+Q47</f>
        <v>576.01</v>
      </c>
      <c r="S47" s="10"/>
    </row>
    <row r="48" customFormat="false" ht="15" hidden="false" customHeight="false" outlineLevel="0" collapsed="false">
      <c r="A48" s="11" t="n">
        <v>44</v>
      </c>
      <c r="B48" s="12" t="s">
        <v>126</v>
      </c>
      <c r="C48" s="12" t="s">
        <v>127</v>
      </c>
      <c r="D48" s="12" t="s">
        <v>128</v>
      </c>
      <c r="E48" s="13" t="s">
        <v>32</v>
      </c>
      <c r="F48" s="14" t="n">
        <v>550</v>
      </c>
      <c r="G48" s="15" t="n">
        <v>0.38</v>
      </c>
      <c r="H48" s="15" t="n">
        <v>0</v>
      </c>
      <c r="I48" s="14" t="n">
        <v>341</v>
      </c>
      <c r="J48" s="16" t="n">
        <f aca="false">F48*(1-G48)*(1-H48)</f>
        <v>341</v>
      </c>
      <c r="K48" s="11" t="n">
        <v>4</v>
      </c>
      <c r="L48" s="16" t="n">
        <f aca="false">J48*K48</f>
        <v>1364</v>
      </c>
      <c r="M48" s="15" t="n">
        <v>0.18</v>
      </c>
      <c r="N48" s="14" t="n">
        <v>1155.93</v>
      </c>
      <c r="O48" s="16" t="n">
        <f aca="false">ROUND(L48/(1+M48),2)</f>
        <v>1155.93</v>
      </c>
      <c r="P48" s="16" t="n">
        <f aca="false">O48-N48</f>
        <v>0</v>
      </c>
      <c r="Q48" s="16" t="n">
        <f aca="false">ROUND(N48*M48,2)</f>
        <v>208.07</v>
      </c>
      <c r="R48" s="16" t="n">
        <f aca="false">N48+Q48</f>
        <v>1364</v>
      </c>
      <c r="S48" s="17"/>
    </row>
    <row r="49" customFormat="false" ht="15" hidden="false" customHeight="false" outlineLevel="0" collapsed="false">
      <c r="A49" s="4" t="n">
        <v>45</v>
      </c>
      <c r="B49" s="5" t="s">
        <v>126</v>
      </c>
      <c r="C49" s="5" t="s">
        <v>129</v>
      </c>
      <c r="D49" s="5" t="s">
        <v>130</v>
      </c>
      <c r="E49" s="6" t="s">
        <v>32</v>
      </c>
      <c r="F49" s="7" t="n">
        <v>490</v>
      </c>
      <c r="G49" s="8" t="n">
        <v>0.38</v>
      </c>
      <c r="H49" s="8" t="n">
        <v>0</v>
      </c>
      <c r="I49" s="7" t="n">
        <v>303.8</v>
      </c>
      <c r="J49" s="9" t="n">
        <f aca="false">F49*(1-G49)*(1-H49)</f>
        <v>303.8</v>
      </c>
      <c r="K49" s="4" t="n">
        <v>6</v>
      </c>
      <c r="L49" s="9" t="n">
        <f aca="false">J49*K49</f>
        <v>1822.8</v>
      </c>
      <c r="M49" s="8" t="n">
        <v>0.18</v>
      </c>
      <c r="N49" s="7" t="n">
        <v>1544.75</v>
      </c>
      <c r="O49" s="9" t="n">
        <f aca="false">ROUND(L49/(1+M49),2)</f>
        <v>1544.75</v>
      </c>
      <c r="P49" s="9" t="n">
        <f aca="false">O49-N49</f>
        <v>0</v>
      </c>
      <c r="Q49" s="9" t="n">
        <f aca="false">ROUND(N49*M49,2)</f>
        <v>278.06</v>
      </c>
      <c r="R49" s="9" t="n">
        <f aca="false">N49+Q49</f>
        <v>1822.81</v>
      </c>
      <c r="S49" s="10"/>
    </row>
    <row r="50" customFormat="false" ht="15" hidden="false" customHeight="false" outlineLevel="0" collapsed="false">
      <c r="A50" s="4" t="n">
        <v>46</v>
      </c>
      <c r="B50" s="5" t="s">
        <v>126</v>
      </c>
      <c r="C50" s="5" t="s">
        <v>131</v>
      </c>
      <c r="D50" s="5" t="s">
        <v>132</v>
      </c>
      <c r="E50" s="6" t="s">
        <v>32</v>
      </c>
      <c r="F50" s="7" t="n">
        <v>660</v>
      </c>
      <c r="G50" s="8" t="n">
        <v>0.38</v>
      </c>
      <c r="H50" s="8" t="n">
        <v>0</v>
      </c>
      <c r="I50" s="7" t="n">
        <v>409.2</v>
      </c>
      <c r="J50" s="9" t="n">
        <f aca="false">F50*(1-G50)*(1-H50)</f>
        <v>409.2</v>
      </c>
      <c r="K50" s="4" t="n">
        <v>8</v>
      </c>
      <c r="L50" s="9" t="n">
        <f aca="false">J50*K50</f>
        <v>3273.6</v>
      </c>
      <c r="M50" s="8" t="n">
        <v>0.18</v>
      </c>
      <c r="N50" s="7" t="n">
        <v>2774.24</v>
      </c>
      <c r="O50" s="9" t="n">
        <f aca="false">ROUND(L50/(1+M50),2)</f>
        <v>2774.24</v>
      </c>
      <c r="P50" s="9" t="n">
        <f aca="false">O50-N50</f>
        <v>0</v>
      </c>
      <c r="Q50" s="9" t="n">
        <f aca="false">ROUND(N50*M50,2)</f>
        <v>499.36</v>
      </c>
      <c r="R50" s="9" t="n">
        <f aca="false">N50+Q50</f>
        <v>3273.6</v>
      </c>
      <c r="S50" s="10"/>
    </row>
    <row r="51" customFormat="false" ht="15" hidden="false" customHeight="false" outlineLevel="0" collapsed="false">
      <c r="A51" s="4" t="n">
        <v>47</v>
      </c>
      <c r="B51" s="5" t="s">
        <v>126</v>
      </c>
      <c r="C51" s="5" t="s">
        <v>133</v>
      </c>
      <c r="D51" s="5" t="s">
        <v>134</v>
      </c>
      <c r="E51" s="6" t="s">
        <v>32</v>
      </c>
      <c r="F51" s="7" t="n">
        <v>660</v>
      </c>
      <c r="G51" s="8" t="n">
        <v>0.38</v>
      </c>
      <c r="H51" s="8" t="n">
        <v>0</v>
      </c>
      <c r="I51" s="7" t="n">
        <v>409.2</v>
      </c>
      <c r="J51" s="9" t="n">
        <f aca="false">F51*(1-G51)*(1-H51)</f>
        <v>409.2</v>
      </c>
      <c r="K51" s="4" t="n">
        <v>8</v>
      </c>
      <c r="L51" s="9" t="n">
        <f aca="false">J51*K51</f>
        <v>3273.6</v>
      </c>
      <c r="M51" s="8" t="n">
        <v>0.18</v>
      </c>
      <c r="N51" s="7" t="n">
        <v>2774.24</v>
      </c>
      <c r="O51" s="9" t="n">
        <f aca="false">ROUND(L51/(1+M51),2)</f>
        <v>2774.24</v>
      </c>
      <c r="P51" s="9" t="n">
        <f aca="false">O51-N51</f>
        <v>0</v>
      </c>
      <c r="Q51" s="9" t="n">
        <f aca="false">ROUND(N51*M51,2)</f>
        <v>499.36</v>
      </c>
      <c r="R51" s="9" t="n">
        <f aca="false">N51+Q51</f>
        <v>3273.6</v>
      </c>
      <c r="S51" s="10"/>
    </row>
    <row r="52" customFormat="false" ht="15" hidden="false" customHeight="false" outlineLevel="0" collapsed="false">
      <c r="A52" s="4" t="n">
        <v>48</v>
      </c>
      <c r="B52" s="5" t="s">
        <v>126</v>
      </c>
      <c r="C52" s="5" t="s">
        <v>135</v>
      </c>
      <c r="D52" s="5" t="s">
        <v>136</v>
      </c>
      <c r="E52" s="6" t="s">
        <v>32</v>
      </c>
      <c r="F52" s="7" t="n">
        <v>1025</v>
      </c>
      <c r="G52" s="8" t="n">
        <v>0.38</v>
      </c>
      <c r="H52" s="8" t="n">
        <v>0</v>
      </c>
      <c r="I52" s="7" t="n">
        <v>635.5</v>
      </c>
      <c r="J52" s="9" t="n">
        <f aca="false">F52*(1-G52)*(1-H52)</f>
        <v>635.5</v>
      </c>
      <c r="K52" s="4" t="n">
        <v>3</v>
      </c>
      <c r="L52" s="9" t="n">
        <f aca="false">J52*K52</f>
        <v>1906.5</v>
      </c>
      <c r="M52" s="8" t="n">
        <v>0.18</v>
      </c>
      <c r="N52" s="7" t="n">
        <v>1615.68</v>
      </c>
      <c r="O52" s="9" t="n">
        <f aca="false">ROUND(L52/(1+M52),2)</f>
        <v>1615.68</v>
      </c>
      <c r="P52" s="9" t="n">
        <f aca="false">O52-N52</f>
        <v>0</v>
      </c>
      <c r="Q52" s="9" t="n">
        <f aca="false">ROUND(N52*M52,2)</f>
        <v>290.82</v>
      </c>
      <c r="R52" s="9" t="n">
        <f aca="false">N52+Q52</f>
        <v>1906.5</v>
      </c>
      <c r="S52" s="10"/>
    </row>
    <row r="53" customFormat="false" ht="15" hidden="false" customHeight="false" outlineLevel="0" collapsed="false">
      <c r="A53" s="4" t="n">
        <v>49</v>
      </c>
      <c r="B53" s="5" t="s">
        <v>126</v>
      </c>
      <c r="C53" s="5" t="s">
        <v>137</v>
      </c>
      <c r="D53" s="5" t="s">
        <v>138</v>
      </c>
      <c r="E53" s="6" t="s">
        <v>32</v>
      </c>
      <c r="F53" s="7" t="n">
        <v>205</v>
      </c>
      <c r="G53" s="8" t="n">
        <v>0.38</v>
      </c>
      <c r="H53" s="8" t="n">
        <v>0</v>
      </c>
      <c r="I53" s="7" t="n">
        <v>127.1</v>
      </c>
      <c r="J53" s="9" t="n">
        <f aca="false">F53*(1-G53)*(1-H53)</f>
        <v>127.1</v>
      </c>
      <c r="K53" s="4" t="n">
        <v>5</v>
      </c>
      <c r="L53" s="9" t="n">
        <f aca="false">J53*K53</f>
        <v>635.5</v>
      </c>
      <c r="M53" s="8" t="n">
        <v>0.18</v>
      </c>
      <c r="N53" s="7" t="n">
        <v>538.56</v>
      </c>
      <c r="O53" s="9" t="n">
        <f aca="false">ROUND(L53/(1+M53),2)</f>
        <v>538.56</v>
      </c>
      <c r="P53" s="9" t="n">
        <f aca="false">O53-N53</f>
        <v>0</v>
      </c>
      <c r="Q53" s="9" t="n">
        <f aca="false">ROUND(N53*M53,2)</f>
        <v>96.94</v>
      </c>
      <c r="R53" s="9" t="n">
        <f aca="false">N53+Q53</f>
        <v>635.5</v>
      </c>
      <c r="S53" s="10"/>
    </row>
    <row r="54" customFormat="false" ht="15" hidden="false" customHeight="false" outlineLevel="0" collapsed="false">
      <c r="A54" s="4" t="n">
        <v>50</v>
      </c>
      <c r="B54" s="5" t="s">
        <v>126</v>
      </c>
      <c r="C54" s="5" t="s">
        <v>139</v>
      </c>
      <c r="D54" s="5" t="s">
        <v>140</v>
      </c>
      <c r="E54" s="6" t="s">
        <v>32</v>
      </c>
      <c r="F54" s="7" t="n">
        <v>210</v>
      </c>
      <c r="G54" s="8" t="n">
        <v>0.38</v>
      </c>
      <c r="H54" s="8" t="n">
        <v>0</v>
      </c>
      <c r="I54" s="7" t="n">
        <v>130.2</v>
      </c>
      <c r="J54" s="9" t="n">
        <f aca="false">F54*(1-G54)*(1-H54)</f>
        <v>130.2</v>
      </c>
      <c r="K54" s="4" t="n">
        <v>10</v>
      </c>
      <c r="L54" s="9" t="n">
        <f aca="false">J54*K54</f>
        <v>1302</v>
      </c>
      <c r="M54" s="8" t="n">
        <v>0.18</v>
      </c>
      <c r="N54" s="7" t="n">
        <v>1103.39</v>
      </c>
      <c r="O54" s="9" t="n">
        <f aca="false">ROUND(L54/(1+M54),2)</f>
        <v>1103.39</v>
      </c>
      <c r="P54" s="9" t="n">
        <f aca="false">O54-N54</f>
        <v>0</v>
      </c>
      <c r="Q54" s="9" t="n">
        <f aca="false">ROUND(N54*M54,2)</f>
        <v>198.61</v>
      </c>
      <c r="R54" s="9" t="n">
        <f aca="false">N54+Q54</f>
        <v>1302</v>
      </c>
      <c r="S54" s="10"/>
    </row>
    <row r="55" customFormat="false" ht="15" hidden="false" customHeight="false" outlineLevel="0" collapsed="false">
      <c r="A55" s="4" t="n">
        <v>51</v>
      </c>
      <c r="B55" s="5" t="s">
        <v>126</v>
      </c>
      <c r="C55" s="5" t="s">
        <v>141</v>
      </c>
      <c r="D55" s="5" t="s">
        <v>142</v>
      </c>
      <c r="E55" s="6" t="s">
        <v>32</v>
      </c>
      <c r="F55" s="7" t="n">
        <v>155</v>
      </c>
      <c r="G55" s="8" t="n">
        <v>0.38</v>
      </c>
      <c r="H55" s="8" t="n">
        <v>0</v>
      </c>
      <c r="I55" s="7" t="n">
        <v>96.1</v>
      </c>
      <c r="J55" s="9" t="n">
        <f aca="false">F55*(1-G55)*(1-H55)</f>
        <v>96.1</v>
      </c>
      <c r="K55" s="4" t="n">
        <v>5</v>
      </c>
      <c r="L55" s="9" t="n">
        <f aca="false">J55*K55</f>
        <v>480.5</v>
      </c>
      <c r="M55" s="8" t="n">
        <v>0.18</v>
      </c>
      <c r="N55" s="7" t="n">
        <v>407.2</v>
      </c>
      <c r="O55" s="9" t="n">
        <f aca="false">ROUND(L55/(1+M55),2)</f>
        <v>407.2</v>
      </c>
      <c r="P55" s="9" t="n">
        <f aca="false">O55-N55</f>
        <v>0</v>
      </c>
      <c r="Q55" s="9" t="n">
        <f aca="false">ROUND(N55*M55,2)</f>
        <v>73.3</v>
      </c>
      <c r="R55" s="9" t="n">
        <f aca="false">N55+Q55</f>
        <v>480.5</v>
      </c>
      <c r="S55" s="10"/>
    </row>
    <row r="56" customFormat="false" ht="15" hidden="false" customHeight="false" outlineLevel="0" collapsed="false">
      <c r="A56" s="4" t="n">
        <v>52</v>
      </c>
      <c r="B56" s="5" t="s">
        <v>126</v>
      </c>
      <c r="C56" s="5" t="s">
        <v>143</v>
      </c>
      <c r="D56" s="5" t="s">
        <v>144</v>
      </c>
      <c r="E56" s="6" t="s">
        <v>32</v>
      </c>
      <c r="F56" s="7" t="n">
        <v>385</v>
      </c>
      <c r="G56" s="8" t="n">
        <v>0.38</v>
      </c>
      <c r="H56" s="8" t="n">
        <v>0</v>
      </c>
      <c r="I56" s="7" t="n">
        <v>238.7</v>
      </c>
      <c r="J56" s="9" t="n">
        <f aca="false">F56*(1-G56)*(1-H56)</f>
        <v>238.7</v>
      </c>
      <c r="K56" s="4" t="n">
        <v>5</v>
      </c>
      <c r="L56" s="9" t="n">
        <f aca="false">J56*K56</f>
        <v>1193.5</v>
      </c>
      <c r="M56" s="8" t="n">
        <v>0.18</v>
      </c>
      <c r="N56" s="7" t="n">
        <v>1011.44</v>
      </c>
      <c r="O56" s="9" t="n">
        <f aca="false">ROUND(L56/(1+M56),2)</f>
        <v>1011.44</v>
      </c>
      <c r="P56" s="9" t="n">
        <f aca="false">O56-N56</f>
        <v>0</v>
      </c>
      <c r="Q56" s="9" t="n">
        <f aca="false">ROUND(N56*M56,2)</f>
        <v>182.06</v>
      </c>
      <c r="R56" s="9" t="n">
        <f aca="false">N56+Q56</f>
        <v>1193.5</v>
      </c>
      <c r="S56" s="10"/>
    </row>
    <row r="57" customFormat="false" ht="15" hidden="false" customHeight="false" outlineLevel="0" collapsed="false">
      <c r="A57" s="4" t="n">
        <v>53</v>
      </c>
      <c r="B57" s="5" t="s">
        <v>126</v>
      </c>
      <c r="C57" s="5" t="s">
        <v>145</v>
      </c>
      <c r="D57" s="5" t="s">
        <v>146</v>
      </c>
      <c r="E57" s="6" t="s">
        <v>32</v>
      </c>
      <c r="F57" s="7" t="n">
        <v>415</v>
      </c>
      <c r="G57" s="8" t="n">
        <v>0.38</v>
      </c>
      <c r="H57" s="8" t="n">
        <v>0</v>
      </c>
      <c r="I57" s="7" t="n">
        <v>257.3</v>
      </c>
      <c r="J57" s="9" t="n">
        <f aca="false">F57*(1-G57)*(1-H57)</f>
        <v>257.3</v>
      </c>
      <c r="K57" s="4" t="n">
        <v>10</v>
      </c>
      <c r="L57" s="9" t="n">
        <f aca="false">J57*K57</f>
        <v>2573</v>
      </c>
      <c r="M57" s="8" t="n">
        <v>0.18</v>
      </c>
      <c r="N57" s="7" t="n">
        <v>2180.51</v>
      </c>
      <c r="O57" s="9" t="n">
        <f aca="false">ROUND(L57/(1+M57),2)</f>
        <v>2180.51</v>
      </c>
      <c r="P57" s="9" t="n">
        <f aca="false">O57-N57</f>
        <v>0</v>
      </c>
      <c r="Q57" s="9" t="n">
        <f aca="false">ROUND(N57*M57,2)</f>
        <v>392.49</v>
      </c>
      <c r="R57" s="9" t="n">
        <f aca="false">N57+Q57</f>
        <v>2573</v>
      </c>
      <c r="S57" s="10"/>
    </row>
    <row r="58" customFormat="false" ht="15" hidden="false" customHeight="false" outlineLevel="0" collapsed="false">
      <c r="A58" s="4" t="n">
        <v>54</v>
      </c>
      <c r="B58" s="5" t="s">
        <v>126</v>
      </c>
      <c r="C58" s="5" t="s">
        <v>147</v>
      </c>
      <c r="D58" s="5" t="s">
        <v>148</v>
      </c>
      <c r="E58" s="6" t="s">
        <v>32</v>
      </c>
      <c r="F58" s="7" t="n">
        <v>405</v>
      </c>
      <c r="G58" s="8" t="n">
        <v>0.38</v>
      </c>
      <c r="H58" s="8" t="n">
        <v>0</v>
      </c>
      <c r="I58" s="7" t="n">
        <v>251.1</v>
      </c>
      <c r="J58" s="9" t="n">
        <f aca="false">F58*(1-G58)*(1-H58)</f>
        <v>251.1</v>
      </c>
      <c r="K58" s="4" t="n">
        <v>10</v>
      </c>
      <c r="L58" s="9" t="n">
        <f aca="false">J58*K58</f>
        <v>2511</v>
      </c>
      <c r="M58" s="8" t="n">
        <v>0.18</v>
      </c>
      <c r="N58" s="7" t="n">
        <v>2127.97</v>
      </c>
      <c r="O58" s="9" t="n">
        <f aca="false">ROUND(L58/(1+M58),2)</f>
        <v>2127.97</v>
      </c>
      <c r="P58" s="9" t="n">
        <f aca="false">O58-N58</f>
        <v>0</v>
      </c>
      <c r="Q58" s="9" t="n">
        <f aca="false">ROUND(N58*M58,2)</f>
        <v>383.03</v>
      </c>
      <c r="R58" s="9" t="n">
        <f aca="false">N58+Q58</f>
        <v>2511</v>
      </c>
      <c r="S58" s="10"/>
    </row>
    <row r="59" customFormat="false" ht="15" hidden="false" customHeight="false" outlineLevel="0" collapsed="false">
      <c r="A59" s="4" t="n">
        <v>55</v>
      </c>
      <c r="B59" s="5" t="s">
        <v>126</v>
      </c>
      <c r="C59" s="5" t="s">
        <v>149</v>
      </c>
      <c r="D59" s="5" t="s">
        <v>150</v>
      </c>
      <c r="E59" s="6" t="s">
        <v>32</v>
      </c>
      <c r="F59" s="7" t="n">
        <v>430</v>
      </c>
      <c r="G59" s="8" t="n">
        <v>0.38</v>
      </c>
      <c r="H59" s="8" t="n">
        <v>0</v>
      </c>
      <c r="I59" s="7" t="n">
        <v>266.6</v>
      </c>
      <c r="J59" s="9" t="n">
        <f aca="false">F59*(1-G59)*(1-H59)</f>
        <v>266.6</v>
      </c>
      <c r="K59" s="4" t="n">
        <v>5</v>
      </c>
      <c r="L59" s="9" t="n">
        <f aca="false">J59*K59</f>
        <v>1333</v>
      </c>
      <c r="M59" s="8" t="n">
        <v>0.18</v>
      </c>
      <c r="N59" s="7" t="n">
        <v>1129.66</v>
      </c>
      <c r="O59" s="9" t="n">
        <f aca="false">ROUND(L59/(1+M59),2)</f>
        <v>1129.66</v>
      </c>
      <c r="P59" s="9" t="n">
        <f aca="false">O59-N59</f>
        <v>0</v>
      </c>
      <c r="Q59" s="9" t="n">
        <f aca="false">ROUND(N59*M59,2)</f>
        <v>203.34</v>
      </c>
      <c r="R59" s="9" t="n">
        <f aca="false">N59+Q59</f>
        <v>1333</v>
      </c>
      <c r="S59" s="10"/>
    </row>
    <row r="60" customFormat="false" ht="15" hidden="false" customHeight="false" outlineLevel="0" collapsed="false">
      <c r="A60" s="4" t="n">
        <v>56</v>
      </c>
      <c r="B60" s="5" t="s">
        <v>126</v>
      </c>
      <c r="C60" s="5" t="s">
        <v>151</v>
      </c>
      <c r="D60" s="5" t="s">
        <v>152</v>
      </c>
      <c r="E60" s="6" t="s">
        <v>32</v>
      </c>
      <c r="F60" s="7" t="n">
        <v>430</v>
      </c>
      <c r="G60" s="8" t="n">
        <v>0.38</v>
      </c>
      <c r="H60" s="8" t="n">
        <v>0</v>
      </c>
      <c r="I60" s="7" t="n">
        <v>266.6</v>
      </c>
      <c r="J60" s="9" t="n">
        <f aca="false">F60*(1-G60)*(1-H60)</f>
        <v>266.6</v>
      </c>
      <c r="K60" s="4" t="n">
        <v>5</v>
      </c>
      <c r="L60" s="9" t="n">
        <f aca="false">J60*K60</f>
        <v>1333</v>
      </c>
      <c r="M60" s="8" t="n">
        <v>0.18</v>
      </c>
      <c r="N60" s="7" t="n">
        <v>1129.66</v>
      </c>
      <c r="O60" s="9" t="n">
        <f aca="false">ROUND(L60/(1+M60),2)</f>
        <v>1129.66</v>
      </c>
      <c r="P60" s="9" t="n">
        <f aca="false">O60-N60</f>
        <v>0</v>
      </c>
      <c r="Q60" s="9" t="n">
        <f aca="false">ROUND(N60*M60,2)</f>
        <v>203.34</v>
      </c>
      <c r="R60" s="9" t="n">
        <f aca="false">N60+Q60</f>
        <v>1333</v>
      </c>
      <c r="S60" s="10"/>
    </row>
    <row r="61" customFormat="false" ht="15" hidden="false" customHeight="false" outlineLevel="0" collapsed="false">
      <c r="A61" s="4" t="n">
        <v>57</v>
      </c>
      <c r="B61" s="5" t="s">
        <v>126</v>
      </c>
      <c r="C61" s="5" t="s">
        <v>153</v>
      </c>
      <c r="D61" s="5" t="s">
        <v>154</v>
      </c>
      <c r="E61" s="6" t="s">
        <v>32</v>
      </c>
      <c r="F61" s="7" t="n">
        <v>430</v>
      </c>
      <c r="G61" s="8" t="n">
        <v>0.38</v>
      </c>
      <c r="H61" s="8" t="n">
        <v>0</v>
      </c>
      <c r="I61" s="7" t="n">
        <v>266.6</v>
      </c>
      <c r="J61" s="9" t="n">
        <f aca="false">F61*(1-G61)*(1-H61)</f>
        <v>266.6</v>
      </c>
      <c r="K61" s="4" t="n">
        <v>5</v>
      </c>
      <c r="L61" s="9" t="n">
        <f aca="false">J61*K61</f>
        <v>1333</v>
      </c>
      <c r="M61" s="8" t="n">
        <v>0.18</v>
      </c>
      <c r="N61" s="7" t="n">
        <v>1129.66</v>
      </c>
      <c r="O61" s="9" t="n">
        <f aca="false">ROUND(L61/(1+M61),2)</f>
        <v>1129.66</v>
      </c>
      <c r="P61" s="9" t="n">
        <f aca="false">O61-N61</f>
        <v>0</v>
      </c>
      <c r="Q61" s="9" t="n">
        <f aca="false">ROUND(N61*M61,2)</f>
        <v>203.34</v>
      </c>
      <c r="R61" s="9" t="n">
        <f aca="false">N61+Q61</f>
        <v>1333</v>
      </c>
      <c r="S61" s="10"/>
    </row>
    <row r="62" customFormat="false" ht="15" hidden="false" customHeight="false" outlineLevel="0" collapsed="false">
      <c r="A62" s="4" t="n">
        <v>58</v>
      </c>
      <c r="B62" s="5" t="s">
        <v>126</v>
      </c>
      <c r="C62" s="5" t="s">
        <v>155</v>
      </c>
      <c r="D62" s="5" t="s">
        <v>156</v>
      </c>
      <c r="E62" s="6" t="s">
        <v>32</v>
      </c>
      <c r="F62" s="7" t="n">
        <v>470</v>
      </c>
      <c r="G62" s="8" t="n">
        <v>0.38</v>
      </c>
      <c r="H62" s="8" t="n">
        <v>0</v>
      </c>
      <c r="I62" s="7" t="n">
        <v>291.4</v>
      </c>
      <c r="J62" s="9" t="n">
        <f aca="false">F62*(1-G62)*(1-H62)</f>
        <v>291.4</v>
      </c>
      <c r="K62" s="4" t="n">
        <v>5</v>
      </c>
      <c r="L62" s="9" t="n">
        <f aca="false">J62*K62</f>
        <v>1457</v>
      </c>
      <c r="M62" s="8" t="n">
        <v>0.18</v>
      </c>
      <c r="N62" s="7" t="n">
        <v>1234.75</v>
      </c>
      <c r="O62" s="9" t="n">
        <f aca="false">ROUND(L62/(1+M62),2)</f>
        <v>1234.75</v>
      </c>
      <c r="P62" s="9" t="n">
        <f aca="false">O62-N62</f>
        <v>0</v>
      </c>
      <c r="Q62" s="9" t="n">
        <f aca="false">ROUND(N62*M62,2)</f>
        <v>222.26</v>
      </c>
      <c r="R62" s="9" t="n">
        <f aca="false">N62+Q62</f>
        <v>1457.01</v>
      </c>
      <c r="S62" s="10"/>
    </row>
    <row r="63" customFormat="false" ht="15" hidden="false" customHeight="false" outlineLevel="0" collapsed="false">
      <c r="A63" s="4" t="n">
        <v>59</v>
      </c>
      <c r="B63" s="5" t="s">
        <v>126</v>
      </c>
      <c r="C63" s="5" t="s">
        <v>157</v>
      </c>
      <c r="D63" s="5" t="s">
        <v>158</v>
      </c>
      <c r="E63" s="6" t="s">
        <v>32</v>
      </c>
      <c r="F63" s="7" t="n">
        <v>470</v>
      </c>
      <c r="G63" s="8" t="n">
        <v>0.38</v>
      </c>
      <c r="H63" s="8" t="n">
        <v>0</v>
      </c>
      <c r="I63" s="7" t="n">
        <v>291.4</v>
      </c>
      <c r="J63" s="9" t="n">
        <f aca="false">F63*(1-G63)*(1-H63)</f>
        <v>291.4</v>
      </c>
      <c r="K63" s="4" t="n">
        <v>5</v>
      </c>
      <c r="L63" s="9" t="n">
        <f aca="false">J63*K63</f>
        <v>1457</v>
      </c>
      <c r="M63" s="8" t="n">
        <v>0.18</v>
      </c>
      <c r="N63" s="7" t="n">
        <v>1234.75</v>
      </c>
      <c r="O63" s="9" t="n">
        <f aca="false">ROUND(L63/(1+M63),2)</f>
        <v>1234.75</v>
      </c>
      <c r="P63" s="9" t="n">
        <f aca="false">O63-N63</f>
        <v>0</v>
      </c>
      <c r="Q63" s="9" t="n">
        <f aca="false">ROUND(N63*M63,2)</f>
        <v>222.26</v>
      </c>
      <c r="R63" s="9" t="n">
        <f aca="false">N63+Q63</f>
        <v>1457.01</v>
      </c>
      <c r="S63" s="10"/>
    </row>
    <row r="64" customFormat="false" ht="15" hidden="false" customHeight="false" outlineLevel="0" collapsed="false">
      <c r="A64" s="4" t="n">
        <v>60</v>
      </c>
      <c r="B64" s="5" t="s">
        <v>126</v>
      </c>
      <c r="C64" s="5" t="s">
        <v>159</v>
      </c>
      <c r="D64" s="5" t="s">
        <v>160</v>
      </c>
      <c r="E64" s="6" t="s">
        <v>32</v>
      </c>
      <c r="F64" s="7" t="n">
        <v>470</v>
      </c>
      <c r="G64" s="8" t="n">
        <v>0.38</v>
      </c>
      <c r="H64" s="8" t="n">
        <v>0</v>
      </c>
      <c r="I64" s="7" t="n">
        <v>291.4</v>
      </c>
      <c r="J64" s="9" t="n">
        <f aca="false">F64*(1-G64)*(1-H64)</f>
        <v>291.4</v>
      </c>
      <c r="K64" s="4" t="n">
        <v>5</v>
      </c>
      <c r="L64" s="9" t="n">
        <f aca="false">J64*K64</f>
        <v>1457</v>
      </c>
      <c r="M64" s="8" t="n">
        <v>0.18</v>
      </c>
      <c r="N64" s="7" t="n">
        <v>1234.75</v>
      </c>
      <c r="O64" s="9" t="n">
        <f aca="false">ROUND(L64/(1+M64),2)</f>
        <v>1234.75</v>
      </c>
      <c r="P64" s="9" t="n">
        <f aca="false">O64-N64</f>
        <v>0</v>
      </c>
      <c r="Q64" s="9" t="n">
        <f aca="false">ROUND(N64*M64,2)</f>
        <v>222.26</v>
      </c>
      <c r="R64" s="9" t="n">
        <f aca="false">N64+Q64</f>
        <v>1457.01</v>
      </c>
      <c r="S64" s="10"/>
    </row>
    <row r="65" customFormat="false" ht="15" hidden="false" customHeight="false" outlineLevel="0" collapsed="false">
      <c r="A65" s="4" t="n">
        <v>61</v>
      </c>
      <c r="B65" s="5" t="s">
        <v>126</v>
      </c>
      <c r="C65" s="5" t="s">
        <v>161</v>
      </c>
      <c r="D65" s="5" t="s">
        <v>162</v>
      </c>
      <c r="E65" s="6" t="s">
        <v>32</v>
      </c>
      <c r="F65" s="7" t="n">
        <v>430</v>
      </c>
      <c r="G65" s="8" t="n">
        <v>0.38</v>
      </c>
      <c r="H65" s="8" t="n">
        <v>0</v>
      </c>
      <c r="I65" s="7" t="n">
        <v>266.6</v>
      </c>
      <c r="J65" s="9" t="n">
        <f aca="false">F65*(1-G65)*(1-H65)</f>
        <v>266.6</v>
      </c>
      <c r="K65" s="4" t="n">
        <v>3</v>
      </c>
      <c r="L65" s="9" t="n">
        <f aca="false">J65*K65</f>
        <v>799.8</v>
      </c>
      <c r="M65" s="8" t="n">
        <v>0.18</v>
      </c>
      <c r="N65" s="7" t="n">
        <v>677.8</v>
      </c>
      <c r="O65" s="9" t="n">
        <f aca="false">ROUND(L65/(1+M65),2)</f>
        <v>677.8</v>
      </c>
      <c r="P65" s="9" t="n">
        <f aca="false">O65-N65</f>
        <v>0</v>
      </c>
      <c r="Q65" s="9" t="n">
        <f aca="false">ROUND(N65*M65,2)</f>
        <v>122</v>
      </c>
      <c r="R65" s="9" t="n">
        <f aca="false">N65+Q65</f>
        <v>799.8</v>
      </c>
      <c r="S65" s="10"/>
    </row>
    <row r="66" customFormat="false" ht="15" hidden="false" customHeight="false" outlineLevel="0" collapsed="false">
      <c r="A66" s="4" t="n">
        <v>62</v>
      </c>
      <c r="B66" s="5" t="s">
        <v>126</v>
      </c>
      <c r="C66" s="5" t="s">
        <v>163</v>
      </c>
      <c r="D66" s="5" t="s">
        <v>164</v>
      </c>
      <c r="E66" s="6" t="s">
        <v>32</v>
      </c>
      <c r="F66" s="7" t="n">
        <v>460</v>
      </c>
      <c r="G66" s="8" t="n">
        <v>0.38</v>
      </c>
      <c r="H66" s="8" t="n">
        <v>0</v>
      </c>
      <c r="I66" s="7" t="n">
        <v>285.2</v>
      </c>
      <c r="J66" s="9" t="n">
        <f aca="false">F66*(1-G66)*(1-H66)</f>
        <v>285.2</v>
      </c>
      <c r="K66" s="4" t="n">
        <v>5</v>
      </c>
      <c r="L66" s="9" t="n">
        <f aca="false">J66*K66</f>
        <v>1426</v>
      </c>
      <c r="M66" s="8" t="n">
        <v>0.18</v>
      </c>
      <c r="N66" s="7" t="n">
        <v>1208.47</v>
      </c>
      <c r="O66" s="9" t="n">
        <f aca="false">ROUND(L66/(1+M66),2)</f>
        <v>1208.47</v>
      </c>
      <c r="P66" s="9" t="n">
        <f aca="false">O66-N66</f>
        <v>0</v>
      </c>
      <c r="Q66" s="9" t="n">
        <f aca="false">ROUND(N66*M66,2)</f>
        <v>217.52</v>
      </c>
      <c r="R66" s="9" t="n">
        <f aca="false">N66+Q66</f>
        <v>1425.99</v>
      </c>
      <c r="S66" s="10"/>
    </row>
    <row r="67" customFormat="false" ht="15" hidden="false" customHeight="false" outlineLevel="0" collapsed="false">
      <c r="A67" s="4" t="n">
        <v>63</v>
      </c>
      <c r="B67" s="5" t="s">
        <v>126</v>
      </c>
      <c r="C67" s="5" t="s">
        <v>165</v>
      </c>
      <c r="D67" s="5" t="s">
        <v>166</v>
      </c>
      <c r="E67" s="6" t="s">
        <v>32</v>
      </c>
      <c r="F67" s="7" t="n">
        <v>505</v>
      </c>
      <c r="G67" s="8" t="n">
        <v>0.38</v>
      </c>
      <c r="H67" s="8" t="n">
        <v>0</v>
      </c>
      <c r="I67" s="7" t="n">
        <v>313.1</v>
      </c>
      <c r="J67" s="9" t="n">
        <f aca="false">F67*(1-G67)*(1-H67)</f>
        <v>313.1</v>
      </c>
      <c r="K67" s="4" t="n">
        <v>6</v>
      </c>
      <c r="L67" s="9" t="n">
        <f aca="false">J67*K67</f>
        <v>1878.6</v>
      </c>
      <c r="M67" s="8" t="n">
        <v>0.18</v>
      </c>
      <c r="N67" s="7" t="n">
        <v>1592.03</v>
      </c>
      <c r="O67" s="9" t="n">
        <f aca="false">ROUND(L67/(1+M67),2)</f>
        <v>1592.03</v>
      </c>
      <c r="P67" s="9" t="n">
        <f aca="false">O67-N67</f>
        <v>0</v>
      </c>
      <c r="Q67" s="9" t="n">
        <f aca="false">ROUND(N67*M67,2)</f>
        <v>286.57</v>
      </c>
      <c r="R67" s="9" t="n">
        <f aca="false">N67+Q67</f>
        <v>1878.6</v>
      </c>
      <c r="S67" s="10" t="s">
        <v>167</v>
      </c>
    </row>
    <row r="68" customFormat="false" ht="15" hidden="false" customHeight="false" outlineLevel="0" collapsed="false">
      <c r="A68" s="4" t="n">
        <v>64</v>
      </c>
      <c r="B68" s="5" t="s">
        <v>126</v>
      </c>
      <c r="C68" s="5" t="s">
        <v>168</v>
      </c>
      <c r="D68" s="5" t="s">
        <v>169</v>
      </c>
      <c r="E68" s="6" t="s">
        <v>32</v>
      </c>
      <c r="F68" s="7" t="n">
        <v>540</v>
      </c>
      <c r="G68" s="8" t="n">
        <v>0.38</v>
      </c>
      <c r="H68" s="8" t="n">
        <v>0</v>
      </c>
      <c r="I68" s="7" t="n">
        <v>334.8</v>
      </c>
      <c r="J68" s="9" t="n">
        <f aca="false">F68*(1-G68)*(1-H68)</f>
        <v>334.8</v>
      </c>
      <c r="K68" s="4" t="n">
        <v>4</v>
      </c>
      <c r="L68" s="9" t="n">
        <f aca="false">J68*K68</f>
        <v>1339.2</v>
      </c>
      <c r="M68" s="8" t="n">
        <v>0.18</v>
      </c>
      <c r="N68" s="7" t="n">
        <v>1134.92</v>
      </c>
      <c r="O68" s="9" t="n">
        <f aca="false">ROUND(L68/(1+M68),2)</f>
        <v>1134.92</v>
      </c>
      <c r="P68" s="9" t="n">
        <f aca="false">O68-N68</f>
        <v>0</v>
      </c>
      <c r="Q68" s="9" t="n">
        <f aca="false">ROUND(N68*M68,2)</f>
        <v>204.29</v>
      </c>
      <c r="R68" s="9" t="n">
        <f aca="false">N68+Q68</f>
        <v>1339.21</v>
      </c>
      <c r="S68" s="10" t="s">
        <v>167</v>
      </c>
    </row>
    <row r="69" customFormat="false" ht="15" hidden="false" customHeight="false" outlineLevel="0" collapsed="false">
      <c r="A69" s="4" t="n">
        <v>65</v>
      </c>
      <c r="B69" s="5" t="s">
        <v>126</v>
      </c>
      <c r="C69" s="5" t="s">
        <v>170</v>
      </c>
      <c r="D69" s="5" t="s">
        <v>171</v>
      </c>
      <c r="E69" s="6" t="s">
        <v>32</v>
      </c>
      <c r="F69" s="7" t="n">
        <v>750</v>
      </c>
      <c r="G69" s="8" t="n">
        <v>0.38</v>
      </c>
      <c r="H69" s="8" t="n">
        <v>0</v>
      </c>
      <c r="I69" s="7" t="n">
        <v>465</v>
      </c>
      <c r="J69" s="9" t="n">
        <f aca="false">F69*(1-G69)*(1-H69)</f>
        <v>465</v>
      </c>
      <c r="K69" s="4" t="n">
        <v>5</v>
      </c>
      <c r="L69" s="9" t="n">
        <f aca="false">J69*K69</f>
        <v>2325</v>
      </c>
      <c r="M69" s="8" t="n">
        <v>0.18</v>
      </c>
      <c r="N69" s="7" t="n">
        <v>1970.34</v>
      </c>
      <c r="O69" s="9" t="n">
        <f aca="false">ROUND(L69/(1+M69),2)</f>
        <v>1970.34</v>
      </c>
      <c r="P69" s="9" t="n">
        <f aca="false">O69-N69</f>
        <v>0</v>
      </c>
      <c r="Q69" s="9" t="n">
        <f aca="false">ROUND(N69*M69,2)</f>
        <v>354.66</v>
      </c>
      <c r="R69" s="9" t="n">
        <f aca="false">N69+Q69</f>
        <v>2325</v>
      </c>
      <c r="S69" s="10"/>
    </row>
    <row r="70" customFormat="false" ht="15" hidden="false" customHeight="false" outlineLevel="0" collapsed="false">
      <c r="A70" s="4" t="n">
        <v>66</v>
      </c>
      <c r="B70" s="5" t="s">
        <v>126</v>
      </c>
      <c r="C70" s="5" t="s">
        <v>172</v>
      </c>
      <c r="D70" s="5" t="s">
        <v>173</v>
      </c>
      <c r="E70" s="6" t="s">
        <v>32</v>
      </c>
      <c r="F70" s="7" t="n">
        <v>760</v>
      </c>
      <c r="G70" s="8" t="n">
        <v>0.38</v>
      </c>
      <c r="H70" s="8" t="n">
        <v>0</v>
      </c>
      <c r="I70" s="7" t="n">
        <v>471.2</v>
      </c>
      <c r="J70" s="9" t="n">
        <f aca="false">F70*(1-G70)*(1-H70)</f>
        <v>471.2</v>
      </c>
      <c r="K70" s="4" t="n">
        <v>4</v>
      </c>
      <c r="L70" s="9" t="n">
        <f aca="false">J70*K70</f>
        <v>1884.8</v>
      </c>
      <c r="M70" s="8" t="n">
        <v>0.18</v>
      </c>
      <c r="N70" s="7" t="n">
        <v>1597.29</v>
      </c>
      <c r="O70" s="9" t="n">
        <f aca="false">ROUND(L70/(1+M70),2)</f>
        <v>1597.29</v>
      </c>
      <c r="P70" s="9" t="n">
        <f aca="false">O70-N70</f>
        <v>0</v>
      </c>
      <c r="Q70" s="9" t="n">
        <f aca="false">ROUND(N70*M70,2)</f>
        <v>287.51</v>
      </c>
      <c r="R70" s="9" t="n">
        <f aca="false">N70+Q70</f>
        <v>1884.8</v>
      </c>
      <c r="S70" s="10"/>
    </row>
    <row r="71" customFormat="false" ht="15" hidden="false" customHeight="false" outlineLevel="0" collapsed="false">
      <c r="A71" s="4" t="n">
        <v>67</v>
      </c>
      <c r="B71" s="5" t="s">
        <v>126</v>
      </c>
      <c r="C71" s="5" t="s">
        <v>174</v>
      </c>
      <c r="D71" s="5" t="s">
        <v>175</v>
      </c>
      <c r="E71" s="6" t="s">
        <v>32</v>
      </c>
      <c r="F71" s="7" t="n">
        <v>615</v>
      </c>
      <c r="G71" s="8" t="n">
        <v>0.38</v>
      </c>
      <c r="H71" s="8" t="n">
        <v>0</v>
      </c>
      <c r="I71" s="7" t="n">
        <v>381.3</v>
      </c>
      <c r="J71" s="9" t="n">
        <f aca="false">F71*(1-G71)*(1-H71)</f>
        <v>381.3</v>
      </c>
      <c r="K71" s="4" t="n">
        <v>3</v>
      </c>
      <c r="L71" s="9" t="n">
        <f aca="false">J71*K71</f>
        <v>1143.9</v>
      </c>
      <c r="M71" s="8" t="n">
        <v>0.18</v>
      </c>
      <c r="N71" s="7" t="n">
        <v>969.41</v>
      </c>
      <c r="O71" s="9" t="n">
        <f aca="false">ROUND(L71/(1+M71),2)</f>
        <v>969.41</v>
      </c>
      <c r="P71" s="9" t="n">
        <f aca="false">O71-N71</f>
        <v>0</v>
      </c>
      <c r="Q71" s="9" t="n">
        <f aca="false">ROUND(N71*M71,2)</f>
        <v>174.49</v>
      </c>
      <c r="R71" s="9" t="n">
        <f aca="false">N71+Q71</f>
        <v>1143.9</v>
      </c>
      <c r="S71" s="10"/>
    </row>
    <row r="72" customFormat="false" ht="15" hidden="false" customHeight="false" outlineLevel="0" collapsed="false">
      <c r="A72" s="4" t="n">
        <v>68</v>
      </c>
      <c r="B72" s="5" t="s">
        <v>126</v>
      </c>
      <c r="C72" s="5" t="s">
        <v>176</v>
      </c>
      <c r="D72" s="5" t="s">
        <v>177</v>
      </c>
      <c r="E72" s="6" t="s">
        <v>32</v>
      </c>
      <c r="F72" s="7" t="n">
        <v>615</v>
      </c>
      <c r="G72" s="8" t="n">
        <v>0.38</v>
      </c>
      <c r="H72" s="8" t="n">
        <v>0</v>
      </c>
      <c r="I72" s="7" t="n">
        <v>381.3</v>
      </c>
      <c r="J72" s="9" t="n">
        <f aca="false">F72*(1-G72)*(1-H72)</f>
        <v>381.3</v>
      </c>
      <c r="K72" s="4" t="n">
        <v>1</v>
      </c>
      <c r="L72" s="9" t="n">
        <f aca="false">J72*K72</f>
        <v>381.3</v>
      </c>
      <c r="M72" s="8" t="n">
        <v>0.18</v>
      </c>
      <c r="N72" s="7" t="n">
        <v>323.14</v>
      </c>
      <c r="O72" s="9" t="n">
        <f aca="false">ROUND(L72/(1+M72),2)</f>
        <v>323.14</v>
      </c>
      <c r="P72" s="9" t="n">
        <f aca="false">O72-N72</f>
        <v>0</v>
      </c>
      <c r="Q72" s="9" t="n">
        <f aca="false">ROUND(N72*M72,2)</f>
        <v>58.17</v>
      </c>
      <c r="R72" s="9" t="n">
        <f aca="false">N72+Q72</f>
        <v>381.31</v>
      </c>
      <c r="S72" s="10"/>
    </row>
    <row r="73" customFormat="false" ht="15" hidden="false" customHeight="false" outlineLevel="0" collapsed="false">
      <c r="A73" s="4" t="n">
        <v>69</v>
      </c>
      <c r="B73" s="5" t="s">
        <v>126</v>
      </c>
      <c r="C73" s="5" t="s">
        <v>178</v>
      </c>
      <c r="D73" s="5" t="s">
        <v>179</v>
      </c>
      <c r="E73" s="6" t="s">
        <v>32</v>
      </c>
      <c r="F73" s="7" t="n">
        <v>175</v>
      </c>
      <c r="G73" s="8" t="n">
        <v>0.38</v>
      </c>
      <c r="H73" s="8" t="n">
        <v>0</v>
      </c>
      <c r="I73" s="7" t="n">
        <v>108.5</v>
      </c>
      <c r="J73" s="9" t="n">
        <f aca="false">F73*(1-G73)*(1-H73)</f>
        <v>108.5</v>
      </c>
      <c r="K73" s="4" t="n">
        <v>4</v>
      </c>
      <c r="L73" s="9" t="n">
        <f aca="false">J73*K73</f>
        <v>434</v>
      </c>
      <c r="M73" s="8" t="n">
        <v>0.18</v>
      </c>
      <c r="N73" s="7" t="n">
        <v>367.8</v>
      </c>
      <c r="O73" s="9" t="n">
        <f aca="false">ROUND(L73/(1+M73),2)</f>
        <v>367.8</v>
      </c>
      <c r="P73" s="9" t="n">
        <f aca="false">O73-N73</f>
        <v>0</v>
      </c>
      <c r="Q73" s="9" t="n">
        <f aca="false">ROUND(N73*M73,2)</f>
        <v>66.2</v>
      </c>
      <c r="R73" s="9" t="n">
        <f aca="false">N73+Q73</f>
        <v>434</v>
      </c>
      <c r="S73" s="10"/>
    </row>
    <row r="74" customFormat="false" ht="15" hidden="false" customHeight="false" outlineLevel="0" collapsed="false">
      <c r="A74" s="4" t="n">
        <v>70</v>
      </c>
      <c r="B74" s="5" t="s">
        <v>126</v>
      </c>
      <c r="C74" s="5" t="s">
        <v>180</v>
      </c>
      <c r="D74" s="5" t="s">
        <v>181</v>
      </c>
      <c r="E74" s="6" t="s">
        <v>32</v>
      </c>
      <c r="F74" s="7" t="n">
        <v>175</v>
      </c>
      <c r="G74" s="8" t="n">
        <v>0.38</v>
      </c>
      <c r="H74" s="8" t="n">
        <v>0</v>
      </c>
      <c r="I74" s="7" t="n">
        <v>108.5</v>
      </c>
      <c r="J74" s="9" t="n">
        <f aca="false">F74*(1-G74)*(1-H74)</f>
        <v>108.5</v>
      </c>
      <c r="K74" s="4" t="n">
        <v>4</v>
      </c>
      <c r="L74" s="9" t="n">
        <f aca="false">J74*K74</f>
        <v>434</v>
      </c>
      <c r="M74" s="8" t="n">
        <v>0.18</v>
      </c>
      <c r="N74" s="7" t="n">
        <v>367.8</v>
      </c>
      <c r="O74" s="9" t="n">
        <f aca="false">ROUND(L74/(1+M74),2)</f>
        <v>367.8</v>
      </c>
      <c r="P74" s="9" t="n">
        <f aca="false">O74-N74</f>
        <v>0</v>
      </c>
      <c r="Q74" s="9" t="n">
        <f aca="false">ROUND(N74*M74,2)</f>
        <v>66.2</v>
      </c>
      <c r="R74" s="9" t="n">
        <f aca="false">N74+Q74</f>
        <v>434</v>
      </c>
      <c r="S74" s="10"/>
    </row>
    <row r="75" customFormat="false" ht="15" hidden="false" customHeight="false" outlineLevel="0" collapsed="false">
      <c r="A75" s="4" t="n">
        <v>71</v>
      </c>
      <c r="B75" s="5" t="s">
        <v>126</v>
      </c>
      <c r="C75" s="5" t="s">
        <v>182</v>
      </c>
      <c r="D75" s="5" t="s">
        <v>183</v>
      </c>
      <c r="E75" s="6" t="s">
        <v>32</v>
      </c>
      <c r="F75" s="7" t="n">
        <v>740</v>
      </c>
      <c r="G75" s="8" t="n">
        <v>0.38</v>
      </c>
      <c r="H75" s="8" t="n">
        <v>0</v>
      </c>
      <c r="I75" s="7" t="n">
        <v>458.8</v>
      </c>
      <c r="J75" s="9" t="n">
        <f aca="false">F75*(1-G75)*(1-H75)</f>
        <v>458.8</v>
      </c>
      <c r="K75" s="4" t="n">
        <v>3</v>
      </c>
      <c r="L75" s="9" t="n">
        <f aca="false">J75*K75</f>
        <v>1376.4</v>
      </c>
      <c r="M75" s="8" t="n">
        <v>0.18</v>
      </c>
      <c r="N75" s="7" t="n">
        <v>1166.44</v>
      </c>
      <c r="O75" s="9" t="n">
        <f aca="false">ROUND(L75/(1+M75),2)</f>
        <v>1166.44</v>
      </c>
      <c r="P75" s="9" t="n">
        <f aca="false">O75-N75</f>
        <v>0</v>
      </c>
      <c r="Q75" s="9" t="n">
        <f aca="false">ROUND(N75*M75,2)</f>
        <v>209.96</v>
      </c>
      <c r="R75" s="9" t="n">
        <f aca="false">N75+Q75</f>
        <v>1376.4</v>
      </c>
      <c r="S75" s="10"/>
    </row>
    <row r="76" customFormat="false" ht="15" hidden="false" customHeight="false" outlineLevel="0" collapsed="false">
      <c r="A76" s="4" t="n">
        <v>72</v>
      </c>
      <c r="B76" s="5" t="s">
        <v>126</v>
      </c>
      <c r="C76" s="5" t="s">
        <v>184</v>
      </c>
      <c r="D76" s="5" t="s">
        <v>185</v>
      </c>
      <c r="E76" s="6" t="s">
        <v>32</v>
      </c>
      <c r="F76" s="7" t="n">
        <v>660</v>
      </c>
      <c r="G76" s="8" t="n">
        <v>0.38</v>
      </c>
      <c r="H76" s="8" t="n">
        <v>0</v>
      </c>
      <c r="I76" s="7" t="n">
        <v>409.2</v>
      </c>
      <c r="J76" s="9" t="n">
        <f aca="false">F76*(1-G76)*(1-H76)</f>
        <v>409.2</v>
      </c>
      <c r="K76" s="4" t="n">
        <v>6</v>
      </c>
      <c r="L76" s="9" t="n">
        <f aca="false">J76*K76</f>
        <v>2455.2</v>
      </c>
      <c r="M76" s="8" t="n">
        <v>0.18</v>
      </c>
      <c r="N76" s="7" t="n">
        <v>2080.68</v>
      </c>
      <c r="O76" s="9" t="n">
        <f aca="false">ROUND(L76/(1+M76),2)</f>
        <v>2080.68</v>
      </c>
      <c r="P76" s="9" t="n">
        <f aca="false">O76-N76</f>
        <v>0</v>
      </c>
      <c r="Q76" s="9" t="n">
        <f aca="false">ROUND(N76*M76,2)</f>
        <v>374.52</v>
      </c>
      <c r="R76" s="9" t="n">
        <f aca="false">N76+Q76</f>
        <v>2455.2</v>
      </c>
      <c r="S76" s="10"/>
    </row>
    <row r="77" customFormat="false" ht="15" hidden="false" customHeight="false" outlineLevel="0" collapsed="false">
      <c r="A77" s="4" t="n">
        <v>73</v>
      </c>
      <c r="B77" s="5" t="s">
        <v>126</v>
      </c>
      <c r="C77" s="5" t="s">
        <v>186</v>
      </c>
      <c r="D77" s="5" t="s">
        <v>187</v>
      </c>
      <c r="E77" s="6" t="s">
        <v>32</v>
      </c>
      <c r="F77" s="7" t="n">
        <v>650</v>
      </c>
      <c r="G77" s="8" t="n">
        <v>0.38</v>
      </c>
      <c r="H77" s="8" t="n">
        <v>0</v>
      </c>
      <c r="I77" s="7" t="n">
        <v>403</v>
      </c>
      <c r="J77" s="9" t="n">
        <f aca="false">F77*(1-G77)*(1-H77)</f>
        <v>403</v>
      </c>
      <c r="K77" s="4" t="n">
        <v>2</v>
      </c>
      <c r="L77" s="9" t="n">
        <f aca="false">J77*K77</f>
        <v>806</v>
      </c>
      <c r="M77" s="8" t="n">
        <v>0.18</v>
      </c>
      <c r="N77" s="7" t="n">
        <v>683.05</v>
      </c>
      <c r="O77" s="9" t="n">
        <f aca="false">ROUND(L77/(1+M77),2)</f>
        <v>683.05</v>
      </c>
      <c r="P77" s="9" t="n">
        <f aca="false">O77-N77</f>
        <v>0</v>
      </c>
      <c r="Q77" s="9" t="n">
        <f aca="false">ROUND(N77*M77,2)</f>
        <v>122.95</v>
      </c>
      <c r="R77" s="9" t="n">
        <f aca="false">N77+Q77</f>
        <v>806</v>
      </c>
      <c r="S77" s="10" t="s">
        <v>167</v>
      </c>
    </row>
    <row r="78" customFormat="false" ht="15" hidden="false" customHeight="false" outlineLevel="0" collapsed="false">
      <c r="A78" s="4" t="n">
        <v>74</v>
      </c>
      <c r="B78" s="5" t="s">
        <v>126</v>
      </c>
      <c r="C78" s="5" t="s">
        <v>188</v>
      </c>
      <c r="D78" s="5" t="s">
        <v>189</v>
      </c>
      <c r="E78" s="6" t="s">
        <v>32</v>
      </c>
      <c r="F78" s="7" t="n">
        <v>710</v>
      </c>
      <c r="G78" s="8" t="n">
        <v>0.38</v>
      </c>
      <c r="H78" s="8" t="n">
        <v>0</v>
      </c>
      <c r="I78" s="7" t="n">
        <v>440.2</v>
      </c>
      <c r="J78" s="9" t="n">
        <f aca="false">F78*(1-G78)*(1-H78)</f>
        <v>440.2</v>
      </c>
      <c r="K78" s="4" t="n">
        <v>5</v>
      </c>
      <c r="L78" s="9" t="n">
        <f aca="false">J78*K78</f>
        <v>2201</v>
      </c>
      <c r="M78" s="8" t="n">
        <v>0.18</v>
      </c>
      <c r="N78" s="7" t="n">
        <v>1865.25</v>
      </c>
      <c r="O78" s="9" t="n">
        <f aca="false">ROUND(L78/(1+M78),2)</f>
        <v>1865.25</v>
      </c>
      <c r="P78" s="9" t="n">
        <f aca="false">O78-N78</f>
        <v>0</v>
      </c>
      <c r="Q78" s="9" t="n">
        <f aca="false">ROUND(N78*M78,2)</f>
        <v>335.75</v>
      </c>
      <c r="R78" s="9" t="n">
        <f aca="false">N78+Q78</f>
        <v>2201</v>
      </c>
      <c r="S78" s="10" t="s">
        <v>167</v>
      </c>
    </row>
    <row r="79" customFormat="false" ht="15" hidden="false" customHeight="false" outlineLevel="0" collapsed="false">
      <c r="A79" s="11" t="n">
        <v>75</v>
      </c>
      <c r="B79" s="12" t="s">
        <v>190</v>
      </c>
      <c r="C79" s="12" t="s">
        <v>191</v>
      </c>
      <c r="D79" s="12" t="s">
        <v>192</v>
      </c>
      <c r="E79" s="13" t="s">
        <v>32</v>
      </c>
      <c r="F79" s="14" t="n">
        <v>426</v>
      </c>
      <c r="G79" s="15" t="n">
        <v>0.4</v>
      </c>
      <c r="H79" s="15" t="n">
        <v>0</v>
      </c>
      <c r="I79" s="14" t="n">
        <v>255.6</v>
      </c>
      <c r="J79" s="16" t="n">
        <f aca="false">F79*(1-G79)*(1-H79)</f>
        <v>255.6</v>
      </c>
      <c r="K79" s="11" t="n">
        <v>5</v>
      </c>
      <c r="L79" s="16" t="n">
        <f aca="false">J79*K79</f>
        <v>1278</v>
      </c>
      <c r="M79" s="15" t="n">
        <v>0.18</v>
      </c>
      <c r="N79" s="14" t="n">
        <v>1083.05</v>
      </c>
      <c r="O79" s="16" t="n">
        <f aca="false">ROUND(L79/(1+M79),2)</f>
        <v>1083.05</v>
      </c>
      <c r="P79" s="16" t="n">
        <f aca="false">O79-N79</f>
        <v>0</v>
      </c>
      <c r="Q79" s="16" t="n">
        <f aca="false">ROUND(N79*M79,2)</f>
        <v>194.95</v>
      </c>
      <c r="R79" s="16" t="n">
        <f aca="false">N79+Q79</f>
        <v>1278</v>
      </c>
      <c r="S79" s="17"/>
    </row>
    <row r="80" customFormat="false" ht="15" hidden="false" customHeight="false" outlineLevel="0" collapsed="false">
      <c r="A80" s="11" t="n">
        <v>76</v>
      </c>
      <c r="B80" s="12" t="s">
        <v>193</v>
      </c>
      <c r="C80" s="12" t="s">
        <v>194</v>
      </c>
      <c r="D80" s="12" t="s">
        <v>195</v>
      </c>
      <c r="E80" s="13" t="s">
        <v>37</v>
      </c>
      <c r="F80" s="14" t="n">
        <v>40</v>
      </c>
      <c r="G80" s="15" t="n">
        <v>0.28</v>
      </c>
      <c r="H80" s="15" t="n">
        <v>0</v>
      </c>
      <c r="I80" s="14" t="n">
        <v>28.8</v>
      </c>
      <c r="J80" s="16" t="n">
        <f aca="false">F80*(1-G80)*(1-H80)</f>
        <v>28.8</v>
      </c>
      <c r="K80" s="11" t="n">
        <v>30</v>
      </c>
      <c r="L80" s="16" t="n">
        <f aca="false">J80*K80</f>
        <v>864</v>
      </c>
      <c r="M80" s="15" t="n">
        <v>0.18</v>
      </c>
      <c r="N80" s="14" t="n">
        <v>732.2</v>
      </c>
      <c r="O80" s="16" t="n">
        <f aca="false">ROUND(L80/(1+M80),2)</f>
        <v>732.2</v>
      </c>
      <c r="P80" s="16" t="n">
        <f aca="false">O80-N80</f>
        <v>0</v>
      </c>
      <c r="Q80" s="16" t="n">
        <f aca="false">ROUND(N80*M80,2)</f>
        <v>131.8</v>
      </c>
      <c r="R80" s="16" t="n">
        <f aca="false">N80+Q80</f>
        <v>864</v>
      </c>
      <c r="S80" s="17"/>
    </row>
    <row r="81" customFormat="false" ht="15" hidden="false" customHeight="false" outlineLevel="0" collapsed="false">
      <c r="A81" s="4" t="n">
        <v>77</v>
      </c>
      <c r="B81" s="5" t="s">
        <v>193</v>
      </c>
      <c r="C81" s="5" t="s">
        <v>196</v>
      </c>
      <c r="D81" s="5" t="s">
        <v>197</v>
      </c>
      <c r="E81" s="6" t="s">
        <v>37</v>
      </c>
      <c r="F81" s="7" t="n">
        <v>52</v>
      </c>
      <c r="G81" s="8" t="n">
        <v>0.28</v>
      </c>
      <c r="H81" s="8" t="n">
        <v>0</v>
      </c>
      <c r="I81" s="7" t="n">
        <v>37.44</v>
      </c>
      <c r="J81" s="9" t="n">
        <f aca="false">F81*(1-G81)*(1-H81)</f>
        <v>37.44</v>
      </c>
      <c r="K81" s="4" t="n">
        <v>20</v>
      </c>
      <c r="L81" s="9" t="n">
        <f aca="false">J81*K81</f>
        <v>748.8</v>
      </c>
      <c r="M81" s="8" t="n">
        <v>0.18</v>
      </c>
      <c r="N81" s="7" t="n">
        <v>634.58</v>
      </c>
      <c r="O81" s="9" t="n">
        <f aca="false">ROUND(L81/(1+M81),2)</f>
        <v>634.58</v>
      </c>
      <c r="P81" s="9" t="n">
        <f aca="false">O81-N81</f>
        <v>0</v>
      </c>
      <c r="Q81" s="9" t="n">
        <f aca="false">ROUND(N81*M81,2)</f>
        <v>114.22</v>
      </c>
      <c r="R81" s="9" t="n">
        <f aca="false">N81+Q81</f>
        <v>748.8</v>
      </c>
      <c r="S81" s="10"/>
    </row>
    <row r="82" customFormat="false" ht="15" hidden="false" customHeight="false" outlineLevel="0" collapsed="false">
      <c r="A82" s="11" t="n">
        <v>78</v>
      </c>
      <c r="B82" s="12" t="s">
        <v>198</v>
      </c>
      <c r="C82" s="12" t="s">
        <v>199</v>
      </c>
      <c r="D82" s="12" t="s">
        <v>200</v>
      </c>
      <c r="E82" s="13" t="s">
        <v>201</v>
      </c>
      <c r="F82" s="14" t="n">
        <v>8</v>
      </c>
      <c r="G82" s="15" t="n">
        <v>0.42</v>
      </c>
      <c r="H82" s="15" t="n">
        <v>0</v>
      </c>
      <c r="I82" s="14" t="n">
        <v>4.64</v>
      </c>
      <c r="J82" s="16" t="n">
        <f aca="false">F82*(1-G82)*(1-H82)</f>
        <v>4.64</v>
      </c>
      <c r="K82" s="11" t="n">
        <v>25</v>
      </c>
      <c r="L82" s="16" t="n">
        <f aca="false">J82*K82</f>
        <v>116</v>
      </c>
      <c r="M82" s="15" t="n">
        <v>0.18</v>
      </c>
      <c r="N82" s="14" t="n">
        <v>98.31</v>
      </c>
      <c r="O82" s="16" t="n">
        <f aca="false">ROUND(L82/(1+M82),2)</f>
        <v>98.31</v>
      </c>
      <c r="P82" s="16" t="n">
        <f aca="false">O82-N82</f>
        <v>0</v>
      </c>
      <c r="Q82" s="16" t="n">
        <f aca="false">ROUND(N82*M82,2)</f>
        <v>17.7</v>
      </c>
      <c r="R82" s="16" t="n">
        <f aca="false">N82+Q82</f>
        <v>116.01</v>
      </c>
      <c r="S82" s="17"/>
    </row>
    <row r="83" customFormat="false" ht="15" hidden="false" customHeight="false" outlineLevel="0" collapsed="false">
      <c r="A83" s="4" t="n">
        <v>79</v>
      </c>
      <c r="B83" s="5" t="s">
        <v>198</v>
      </c>
      <c r="C83" s="5" t="s">
        <v>202</v>
      </c>
      <c r="D83" s="5" t="s">
        <v>203</v>
      </c>
      <c r="E83" s="6" t="s">
        <v>201</v>
      </c>
      <c r="F83" s="7" t="n">
        <v>228</v>
      </c>
      <c r="G83" s="8" t="n">
        <v>0.42</v>
      </c>
      <c r="H83" s="8" t="n">
        <v>0</v>
      </c>
      <c r="I83" s="7" t="n">
        <v>132.24</v>
      </c>
      <c r="J83" s="9" t="n">
        <f aca="false">F83*(1-G83)*(1-H83)</f>
        <v>132.24</v>
      </c>
      <c r="K83" s="4" t="n">
        <v>30</v>
      </c>
      <c r="L83" s="9" t="n">
        <f aca="false">J83*K83</f>
        <v>3967.2</v>
      </c>
      <c r="M83" s="8" t="n">
        <v>0.18</v>
      </c>
      <c r="N83" s="7" t="n">
        <v>3362.03</v>
      </c>
      <c r="O83" s="9" t="n">
        <f aca="false">ROUND(L83/(1+M83),2)</f>
        <v>3362.03</v>
      </c>
      <c r="P83" s="9" t="n">
        <f aca="false">O83-N83</f>
        <v>0</v>
      </c>
      <c r="Q83" s="9" t="n">
        <f aca="false">ROUND(N83*M83,2)</f>
        <v>605.17</v>
      </c>
      <c r="R83" s="9" t="n">
        <f aca="false">N83+Q83</f>
        <v>3967.2</v>
      </c>
      <c r="S83" s="10"/>
    </row>
    <row r="84" customFormat="false" ht="15" hidden="false" customHeight="false" outlineLevel="0" collapsed="false">
      <c r="A84" s="4" t="n">
        <v>80</v>
      </c>
      <c r="B84" s="5" t="s">
        <v>198</v>
      </c>
      <c r="C84" s="5" t="s">
        <v>204</v>
      </c>
      <c r="D84" s="5" t="s">
        <v>205</v>
      </c>
      <c r="E84" s="6" t="s">
        <v>201</v>
      </c>
      <c r="F84" s="7" t="n">
        <v>8</v>
      </c>
      <c r="G84" s="8" t="n">
        <v>0.4</v>
      </c>
      <c r="H84" s="8" t="n">
        <v>0</v>
      </c>
      <c r="I84" s="7" t="n">
        <v>4.8</v>
      </c>
      <c r="J84" s="9" t="n">
        <f aca="false">F84*(1-G84)*(1-H84)</f>
        <v>4.8</v>
      </c>
      <c r="K84" s="4" t="n">
        <v>25</v>
      </c>
      <c r="L84" s="9" t="n">
        <f aca="false">J84*K84</f>
        <v>120</v>
      </c>
      <c r="M84" s="8" t="n">
        <v>0.18</v>
      </c>
      <c r="N84" s="7" t="n">
        <v>101.69</v>
      </c>
      <c r="O84" s="9" t="n">
        <f aca="false">ROUND(L84/(1+M84),2)</f>
        <v>101.69</v>
      </c>
      <c r="P84" s="9" t="n">
        <f aca="false">O84-N84</f>
        <v>0</v>
      </c>
      <c r="Q84" s="9" t="n">
        <f aca="false">ROUND(N84*M84,2)</f>
        <v>18.3</v>
      </c>
      <c r="R84" s="9" t="n">
        <f aca="false">N84+Q84</f>
        <v>119.99</v>
      </c>
      <c r="S84" s="10"/>
    </row>
    <row r="85" customFormat="false" ht="15" hidden="false" customHeight="false" outlineLevel="0" collapsed="false">
      <c r="A85" s="4" t="n">
        <v>81</v>
      </c>
      <c r="B85" s="5" t="s">
        <v>198</v>
      </c>
      <c r="C85" s="5" t="s">
        <v>206</v>
      </c>
      <c r="D85" s="5" t="s">
        <v>207</v>
      </c>
      <c r="E85" s="6" t="s">
        <v>201</v>
      </c>
      <c r="F85" s="7" t="n">
        <v>254</v>
      </c>
      <c r="G85" s="8" t="n">
        <v>0.42</v>
      </c>
      <c r="H85" s="8" t="n">
        <v>0</v>
      </c>
      <c r="I85" s="7" t="n">
        <v>147.32</v>
      </c>
      <c r="J85" s="9" t="n">
        <f aca="false">F85*(1-G85)*(1-H85)</f>
        <v>147.32</v>
      </c>
      <c r="K85" s="4" t="n">
        <v>27</v>
      </c>
      <c r="L85" s="9" t="n">
        <f aca="false">J85*K85</f>
        <v>3977.64</v>
      </c>
      <c r="M85" s="8" t="n">
        <v>0.18</v>
      </c>
      <c r="N85" s="7" t="n">
        <v>3370.88</v>
      </c>
      <c r="O85" s="9" t="n">
        <f aca="false">ROUND(L85/(1+M85),2)</f>
        <v>3370.88</v>
      </c>
      <c r="P85" s="9" t="n">
        <f aca="false">O85-N85</f>
        <v>0</v>
      </c>
      <c r="Q85" s="9" t="n">
        <f aca="false">ROUND(N85*M85,2)</f>
        <v>606.76</v>
      </c>
      <c r="R85" s="9" t="n">
        <f aca="false">N85+Q85</f>
        <v>3977.64</v>
      </c>
      <c r="S85" s="10"/>
    </row>
    <row r="86" customFormat="false" ht="15" hidden="false" customHeight="false" outlineLevel="0" collapsed="false">
      <c r="A86" s="11" t="n">
        <v>82</v>
      </c>
      <c r="B86" s="12" t="s">
        <v>208</v>
      </c>
      <c r="C86" s="12" t="s">
        <v>209</v>
      </c>
      <c r="D86" s="12" t="s">
        <v>210</v>
      </c>
      <c r="E86" s="13" t="s">
        <v>32</v>
      </c>
      <c r="F86" s="14" t="n">
        <v>240</v>
      </c>
      <c r="G86" s="15" t="n">
        <v>0</v>
      </c>
      <c r="H86" s="15" t="n">
        <v>0</v>
      </c>
      <c r="I86" s="14" t="n">
        <v>240</v>
      </c>
      <c r="J86" s="16" t="n">
        <f aca="false">F86*(1-G86)*(1-H86)</f>
        <v>240</v>
      </c>
      <c r="K86" s="11" t="n">
        <v>15</v>
      </c>
      <c r="L86" s="16" t="n">
        <f aca="false">J86*K86</f>
        <v>3600</v>
      </c>
      <c r="M86" s="15" t="n">
        <v>0.18</v>
      </c>
      <c r="N86" s="14" t="n">
        <v>3050.85</v>
      </c>
      <c r="O86" s="16" t="n">
        <f aca="false">ROUND(L86/(1+M86),2)</f>
        <v>3050.85</v>
      </c>
      <c r="P86" s="16" t="n">
        <f aca="false">O86-N86</f>
        <v>0</v>
      </c>
      <c r="Q86" s="16" t="n">
        <f aca="false">ROUND(N86*M86,2)</f>
        <v>549.15</v>
      </c>
      <c r="R86" s="16" t="n">
        <f aca="false">N86+Q86</f>
        <v>3600</v>
      </c>
      <c r="S86" s="17"/>
    </row>
    <row r="87" customFormat="false" ht="15" hidden="false" customHeight="false" outlineLevel="0" collapsed="false">
      <c r="A87" s="11" t="n">
        <v>83</v>
      </c>
      <c r="B87" s="12" t="s">
        <v>211</v>
      </c>
      <c r="C87" s="12" t="s">
        <v>212</v>
      </c>
      <c r="D87" s="12" t="s">
        <v>213</v>
      </c>
      <c r="E87" s="13" t="s">
        <v>24</v>
      </c>
      <c r="F87" s="14" t="n">
        <v>10.75</v>
      </c>
      <c r="G87" s="15" t="n">
        <v>0.45</v>
      </c>
      <c r="H87" s="15" t="n">
        <v>0</v>
      </c>
      <c r="I87" s="14" t="n">
        <v>5.91</v>
      </c>
      <c r="J87" s="16" t="n">
        <f aca="false">F87*(1-G87)*(1-H87)</f>
        <v>5.9125</v>
      </c>
      <c r="K87" s="11" t="n">
        <v>50</v>
      </c>
      <c r="L87" s="16" t="n">
        <f aca="false">J87*K87</f>
        <v>295.625</v>
      </c>
      <c r="M87" s="15" t="n">
        <v>0.18</v>
      </c>
      <c r="N87" s="14" t="n">
        <v>250.53</v>
      </c>
      <c r="O87" s="16" t="n">
        <f aca="false">ROUND(L87/(1+M87),2)</f>
        <v>250.53</v>
      </c>
      <c r="P87" s="16" t="n">
        <f aca="false">O87-N87</f>
        <v>0</v>
      </c>
      <c r="Q87" s="16" t="n">
        <f aca="false">ROUND(N87*M87,2)</f>
        <v>45.1</v>
      </c>
      <c r="R87" s="16" t="n">
        <f aca="false">N87+Q87</f>
        <v>295.63</v>
      </c>
      <c r="S87" s="17"/>
    </row>
    <row r="88" customFormat="false" ht="15" hidden="false" customHeight="false" outlineLevel="0" collapsed="false">
      <c r="A88" s="4" t="n">
        <v>84</v>
      </c>
      <c r="B88" s="5" t="s">
        <v>211</v>
      </c>
      <c r="C88" s="5" t="s">
        <v>214</v>
      </c>
      <c r="D88" s="5" t="s">
        <v>215</v>
      </c>
      <c r="E88" s="6" t="s">
        <v>24</v>
      </c>
      <c r="F88" s="7" t="n">
        <v>95</v>
      </c>
      <c r="G88" s="8" t="n">
        <v>0.38</v>
      </c>
      <c r="H88" s="8" t="n">
        <v>0</v>
      </c>
      <c r="I88" s="7" t="n">
        <v>58.9</v>
      </c>
      <c r="J88" s="9" t="n">
        <f aca="false">F88*(1-G88)*(1-H88)</f>
        <v>58.9</v>
      </c>
      <c r="K88" s="4" t="n">
        <v>5</v>
      </c>
      <c r="L88" s="9" t="n">
        <f aca="false">J88*K88</f>
        <v>294.5</v>
      </c>
      <c r="M88" s="8" t="n">
        <v>0.18</v>
      </c>
      <c r="N88" s="7" t="n">
        <v>249.58</v>
      </c>
      <c r="O88" s="9" t="n">
        <f aca="false">ROUND(L88/(1+M88),2)</f>
        <v>249.58</v>
      </c>
      <c r="P88" s="9" t="n">
        <f aca="false">O88-N88</f>
        <v>0</v>
      </c>
      <c r="Q88" s="9" t="n">
        <f aca="false">ROUND(N88*M88,2)</f>
        <v>44.92</v>
      </c>
      <c r="R88" s="9" t="n">
        <f aca="false">N88+Q88</f>
        <v>294.5</v>
      </c>
      <c r="S88" s="10"/>
    </row>
    <row r="89" customFormat="false" ht="15" hidden="false" customHeight="false" outlineLevel="0" collapsed="false">
      <c r="A89" s="4" t="n">
        <v>85</v>
      </c>
      <c r="B89" s="5" t="s">
        <v>211</v>
      </c>
      <c r="C89" s="5" t="s">
        <v>216</v>
      </c>
      <c r="D89" s="5" t="s">
        <v>217</v>
      </c>
      <c r="E89" s="6" t="s">
        <v>24</v>
      </c>
      <c r="F89" s="7" t="n">
        <v>90</v>
      </c>
      <c r="G89" s="8" t="n">
        <v>0.45</v>
      </c>
      <c r="H89" s="8" t="n">
        <v>0</v>
      </c>
      <c r="I89" s="7" t="n">
        <v>49.5</v>
      </c>
      <c r="J89" s="9" t="n">
        <f aca="false">F89*(1-G89)*(1-H89)</f>
        <v>49.5</v>
      </c>
      <c r="K89" s="4" t="n">
        <v>10</v>
      </c>
      <c r="L89" s="9" t="n">
        <f aca="false">J89*K89</f>
        <v>495</v>
      </c>
      <c r="M89" s="8" t="n">
        <v>0.18</v>
      </c>
      <c r="N89" s="7" t="n">
        <v>419.49</v>
      </c>
      <c r="O89" s="9" t="n">
        <f aca="false">ROUND(L89/(1+M89),2)</f>
        <v>419.49</v>
      </c>
      <c r="P89" s="9" t="n">
        <f aca="false">O89-N89</f>
        <v>0</v>
      </c>
      <c r="Q89" s="9" t="n">
        <f aca="false">ROUND(N89*M89,2)</f>
        <v>75.51</v>
      </c>
      <c r="R89" s="9" t="n">
        <f aca="false">N89+Q89</f>
        <v>495</v>
      </c>
      <c r="S89" s="10"/>
    </row>
    <row r="90" customFormat="false" ht="15" hidden="false" customHeight="false" outlineLevel="0" collapsed="false">
      <c r="A90" s="4" t="n">
        <v>86</v>
      </c>
      <c r="B90" s="5" t="s">
        <v>211</v>
      </c>
      <c r="C90" s="5" t="s">
        <v>218</v>
      </c>
      <c r="D90" s="5" t="s">
        <v>219</v>
      </c>
      <c r="E90" s="6" t="s">
        <v>24</v>
      </c>
      <c r="F90" s="7" t="n">
        <v>73</v>
      </c>
      <c r="G90" s="8" t="n">
        <v>0.38</v>
      </c>
      <c r="H90" s="8" t="n">
        <v>0</v>
      </c>
      <c r="I90" s="7" t="n">
        <v>45.26</v>
      </c>
      <c r="J90" s="9" t="n">
        <f aca="false">F90*(1-G90)*(1-H90)</f>
        <v>45.26</v>
      </c>
      <c r="K90" s="4" t="n">
        <v>10</v>
      </c>
      <c r="L90" s="9" t="n">
        <f aca="false">J90*K90</f>
        <v>452.6</v>
      </c>
      <c r="M90" s="8" t="n">
        <v>0.18</v>
      </c>
      <c r="N90" s="7" t="n">
        <v>383.56</v>
      </c>
      <c r="O90" s="9" t="n">
        <f aca="false">ROUND(L90/(1+M90),2)</f>
        <v>383.56</v>
      </c>
      <c r="P90" s="9" t="n">
        <f aca="false">O90-N90</f>
        <v>0</v>
      </c>
      <c r="Q90" s="9" t="n">
        <f aca="false">ROUND(N90*M90,2)</f>
        <v>69.04</v>
      </c>
      <c r="R90" s="9" t="n">
        <f aca="false">N90+Q90</f>
        <v>452.6</v>
      </c>
      <c r="S90" s="10"/>
    </row>
    <row r="91" customFormat="false" ht="15" hidden="false" customHeight="false" outlineLevel="0" collapsed="false">
      <c r="A91" s="4" t="n">
        <v>87</v>
      </c>
      <c r="B91" s="5" t="s">
        <v>211</v>
      </c>
      <c r="C91" s="5" t="s">
        <v>220</v>
      </c>
      <c r="D91" s="5" t="s">
        <v>221</v>
      </c>
      <c r="E91" s="6" t="s">
        <v>24</v>
      </c>
      <c r="F91" s="7" t="n">
        <v>50</v>
      </c>
      <c r="G91" s="8" t="n">
        <v>0.38</v>
      </c>
      <c r="H91" s="8" t="n">
        <v>0</v>
      </c>
      <c r="I91" s="7" t="n">
        <v>31</v>
      </c>
      <c r="J91" s="9" t="n">
        <f aca="false">F91*(1-G91)*(1-H91)</f>
        <v>31</v>
      </c>
      <c r="K91" s="4" t="n">
        <v>7</v>
      </c>
      <c r="L91" s="9" t="n">
        <f aca="false">J91*K91</f>
        <v>217</v>
      </c>
      <c r="M91" s="8" t="n">
        <v>0.18</v>
      </c>
      <c r="N91" s="7" t="n">
        <v>183.9</v>
      </c>
      <c r="O91" s="9" t="n">
        <f aca="false">ROUND(L91/(1+M91),2)</f>
        <v>183.9</v>
      </c>
      <c r="P91" s="9" t="n">
        <f aca="false">O91-N91</f>
        <v>0</v>
      </c>
      <c r="Q91" s="9" t="n">
        <f aca="false">ROUND(N91*M91,2)</f>
        <v>33.1</v>
      </c>
      <c r="R91" s="9" t="n">
        <f aca="false">N91+Q91</f>
        <v>217</v>
      </c>
      <c r="S91" s="10"/>
    </row>
    <row r="92" customFormat="false" ht="15" hidden="false" customHeight="false" outlineLevel="0" collapsed="false">
      <c r="A92" s="4" t="n">
        <v>88</v>
      </c>
      <c r="B92" s="5" t="s">
        <v>211</v>
      </c>
      <c r="C92" s="5" t="s">
        <v>222</v>
      </c>
      <c r="D92" s="5" t="s">
        <v>223</v>
      </c>
      <c r="E92" s="6" t="s">
        <v>24</v>
      </c>
      <c r="F92" s="7" t="n">
        <v>5.05</v>
      </c>
      <c r="G92" s="8" t="n">
        <v>0.45</v>
      </c>
      <c r="H92" s="8" t="n">
        <v>0</v>
      </c>
      <c r="I92" s="7" t="n">
        <v>2.78</v>
      </c>
      <c r="J92" s="9" t="n">
        <f aca="false">F92*(1-G92)*(1-H92)</f>
        <v>2.7775</v>
      </c>
      <c r="K92" s="4" t="n">
        <v>100</v>
      </c>
      <c r="L92" s="9" t="n">
        <f aca="false">J92*K92</f>
        <v>277.75</v>
      </c>
      <c r="M92" s="8" t="n">
        <v>0.18</v>
      </c>
      <c r="N92" s="7" t="n">
        <v>235.38</v>
      </c>
      <c r="O92" s="9" t="n">
        <f aca="false">ROUND(L92/(1+M92),2)</f>
        <v>235.38</v>
      </c>
      <c r="P92" s="9" t="n">
        <f aca="false">O92-N92</f>
        <v>0</v>
      </c>
      <c r="Q92" s="9" t="n">
        <f aca="false">ROUND(N92*M92,2)</f>
        <v>42.37</v>
      </c>
      <c r="R92" s="9" t="n">
        <f aca="false">N92+Q92</f>
        <v>277.75</v>
      </c>
      <c r="S92" s="10"/>
    </row>
    <row r="93" customFormat="false" ht="15" hidden="false" customHeight="false" outlineLevel="0" collapsed="false">
      <c r="A93" s="4" t="n">
        <v>89</v>
      </c>
      <c r="B93" s="5" t="s">
        <v>211</v>
      </c>
      <c r="C93" s="5" t="s">
        <v>224</v>
      </c>
      <c r="D93" s="5" t="s">
        <v>225</v>
      </c>
      <c r="E93" s="6" t="s">
        <v>24</v>
      </c>
      <c r="F93" s="7" t="n">
        <v>4.8</v>
      </c>
      <c r="G93" s="8" t="n">
        <v>0.45</v>
      </c>
      <c r="H93" s="8" t="n">
        <v>0</v>
      </c>
      <c r="I93" s="7" t="n">
        <v>2.64</v>
      </c>
      <c r="J93" s="9" t="n">
        <f aca="false">F93*(1-G93)*(1-H93)</f>
        <v>2.64</v>
      </c>
      <c r="K93" s="4" t="n">
        <v>100</v>
      </c>
      <c r="L93" s="9" t="n">
        <f aca="false">J93*K93</f>
        <v>264</v>
      </c>
      <c r="M93" s="8" t="n">
        <v>0.18</v>
      </c>
      <c r="N93" s="7" t="n">
        <v>223.73</v>
      </c>
      <c r="O93" s="9" t="n">
        <f aca="false">ROUND(L93/(1+M93),2)</f>
        <v>223.73</v>
      </c>
      <c r="P93" s="9" t="n">
        <f aca="false">O93-N93</f>
        <v>0</v>
      </c>
      <c r="Q93" s="9" t="n">
        <f aca="false">ROUND(N93*M93,2)</f>
        <v>40.27</v>
      </c>
      <c r="R93" s="9" t="n">
        <f aca="false">N93+Q93</f>
        <v>264</v>
      </c>
      <c r="S93" s="10"/>
    </row>
    <row r="94" customFormat="false" ht="15" hidden="false" customHeight="false" outlineLevel="0" collapsed="false">
      <c r="A94" s="4" t="n">
        <v>90</v>
      </c>
      <c r="B94" s="5" t="s">
        <v>211</v>
      </c>
      <c r="C94" s="5" t="s">
        <v>226</v>
      </c>
      <c r="D94" s="5" t="s">
        <v>227</v>
      </c>
      <c r="E94" s="6" t="s">
        <v>24</v>
      </c>
      <c r="F94" s="7" t="n">
        <v>2.25</v>
      </c>
      <c r="G94" s="8" t="n">
        <v>0.38</v>
      </c>
      <c r="H94" s="8" t="n">
        <v>0</v>
      </c>
      <c r="I94" s="7" t="n">
        <v>1.4</v>
      </c>
      <c r="J94" s="9" t="n">
        <f aca="false">F94*(1-G94)*(1-H94)</f>
        <v>1.395</v>
      </c>
      <c r="K94" s="4" t="n">
        <v>100</v>
      </c>
      <c r="L94" s="9" t="n">
        <f aca="false">J94*K94</f>
        <v>139.5</v>
      </c>
      <c r="M94" s="8" t="n">
        <v>0.18</v>
      </c>
      <c r="N94" s="7" t="n">
        <v>118.22</v>
      </c>
      <c r="O94" s="9" t="n">
        <f aca="false">ROUND(L94/(1+M94),2)</f>
        <v>118.22</v>
      </c>
      <c r="P94" s="9" t="n">
        <f aca="false">O94-N94</f>
        <v>0</v>
      </c>
      <c r="Q94" s="9" t="n">
        <f aca="false">ROUND(N94*M94,2)</f>
        <v>21.28</v>
      </c>
      <c r="R94" s="9" t="n">
        <f aca="false">N94+Q94</f>
        <v>139.5</v>
      </c>
      <c r="S94" s="10"/>
    </row>
    <row r="95" customFormat="false" ht="15" hidden="false" customHeight="false" outlineLevel="0" collapsed="false">
      <c r="A95" s="11" t="n">
        <v>91</v>
      </c>
      <c r="B95" s="12" t="s">
        <v>228</v>
      </c>
      <c r="C95" s="12" t="s">
        <v>229</v>
      </c>
      <c r="D95" s="12" t="s">
        <v>230</v>
      </c>
      <c r="E95" s="13" t="s">
        <v>32</v>
      </c>
      <c r="F95" s="14" t="n">
        <v>2</v>
      </c>
      <c r="G95" s="15" t="n">
        <v>0.4</v>
      </c>
      <c r="H95" s="15" t="n">
        <v>0</v>
      </c>
      <c r="I95" s="14" t="n">
        <v>1.2</v>
      </c>
      <c r="J95" s="16" t="n">
        <f aca="false">F95*(1-G95)*(1-H95)</f>
        <v>1.2</v>
      </c>
      <c r="K95" s="11" t="n">
        <v>200</v>
      </c>
      <c r="L95" s="16" t="n">
        <f aca="false">J95*K95</f>
        <v>240</v>
      </c>
      <c r="M95" s="15" t="n">
        <v>0.18</v>
      </c>
      <c r="N95" s="14" t="n">
        <v>203.39</v>
      </c>
      <c r="O95" s="16" t="n">
        <f aca="false">ROUND(L95/(1+M95),2)</f>
        <v>203.39</v>
      </c>
      <c r="P95" s="16" t="n">
        <f aca="false">O95-N95</f>
        <v>0</v>
      </c>
      <c r="Q95" s="16" t="n">
        <f aca="false">ROUND(N95*M95,2)</f>
        <v>36.61</v>
      </c>
      <c r="R95" s="16" t="n">
        <f aca="false">N95+Q95</f>
        <v>240</v>
      </c>
      <c r="S95" s="17"/>
    </row>
    <row r="96" customFormat="false" ht="15" hidden="false" customHeight="false" outlineLevel="0" collapsed="false">
      <c r="A96" s="4" t="n">
        <v>92</v>
      </c>
      <c r="B96" s="5" t="s">
        <v>228</v>
      </c>
      <c r="C96" s="5" t="s">
        <v>231</v>
      </c>
      <c r="D96" s="5" t="s">
        <v>232</v>
      </c>
      <c r="E96" s="6" t="s">
        <v>32</v>
      </c>
      <c r="F96" s="7" t="n">
        <v>7.4</v>
      </c>
      <c r="G96" s="8" t="n">
        <v>0.4</v>
      </c>
      <c r="H96" s="8" t="n">
        <v>0</v>
      </c>
      <c r="I96" s="7" t="n">
        <v>4.44</v>
      </c>
      <c r="J96" s="9" t="n">
        <f aca="false">F96*(1-G96)*(1-H96)</f>
        <v>4.44</v>
      </c>
      <c r="K96" s="4" t="n">
        <v>20</v>
      </c>
      <c r="L96" s="9" t="n">
        <f aca="false">J96*K96</f>
        <v>88.8</v>
      </c>
      <c r="M96" s="8" t="n">
        <v>0.18</v>
      </c>
      <c r="N96" s="7" t="n">
        <v>75.25</v>
      </c>
      <c r="O96" s="9" t="n">
        <f aca="false">ROUND(L96/(1+M96),2)</f>
        <v>75.25</v>
      </c>
      <c r="P96" s="9" t="n">
        <f aca="false">O96-N96</f>
        <v>0</v>
      </c>
      <c r="Q96" s="9" t="n">
        <f aca="false">ROUND(N96*M96,2)</f>
        <v>13.55</v>
      </c>
      <c r="R96" s="9" t="n">
        <f aca="false">N96+Q96</f>
        <v>88.8</v>
      </c>
      <c r="S96" s="10"/>
    </row>
    <row r="97" customFormat="false" ht="15" hidden="false" customHeight="false" outlineLevel="0" collapsed="false">
      <c r="A97" s="4" t="n">
        <v>93</v>
      </c>
      <c r="B97" s="5" t="s">
        <v>228</v>
      </c>
      <c r="C97" s="5" t="s">
        <v>233</v>
      </c>
      <c r="D97" s="5" t="s">
        <v>234</v>
      </c>
      <c r="E97" s="6" t="s">
        <v>32</v>
      </c>
      <c r="F97" s="7" t="n">
        <v>16</v>
      </c>
      <c r="G97" s="8" t="n">
        <v>0.4</v>
      </c>
      <c r="H97" s="8" t="n">
        <v>0</v>
      </c>
      <c r="I97" s="7" t="n">
        <v>9.6</v>
      </c>
      <c r="J97" s="9" t="n">
        <f aca="false">F97*(1-G97)*(1-H97)</f>
        <v>9.6</v>
      </c>
      <c r="K97" s="4" t="n">
        <v>10</v>
      </c>
      <c r="L97" s="9" t="n">
        <f aca="false">J97*K97</f>
        <v>96</v>
      </c>
      <c r="M97" s="8" t="n">
        <v>0.18</v>
      </c>
      <c r="N97" s="7" t="n">
        <v>81.36</v>
      </c>
      <c r="O97" s="9" t="n">
        <f aca="false">ROUND(L97/(1+M97),2)</f>
        <v>81.36</v>
      </c>
      <c r="P97" s="9" t="n">
        <f aca="false">O97-N97</f>
        <v>0</v>
      </c>
      <c r="Q97" s="9" t="n">
        <f aca="false">ROUND(N97*M97,2)</f>
        <v>14.64</v>
      </c>
      <c r="R97" s="9" t="n">
        <f aca="false">N97+Q97</f>
        <v>96</v>
      </c>
      <c r="S97" s="10"/>
    </row>
    <row r="98" customFormat="false" ht="15" hidden="false" customHeight="false" outlineLevel="0" collapsed="false">
      <c r="A98" s="4" t="n">
        <v>94</v>
      </c>
      <c r="B98" s="5" t="s">
        <v>228</v>
      </c>
      <c r="C98" s="5" t="s">
        <v>235</v>
      </c>
      <c r="D98" s="5" t="s">
        <v>236</v>
      </c>
      <c r="E98" s="6" t="s">
        <v>237</v>
      </c>
      <c r="F98" s="7" t="n">
        <v>6.5</v>
      </c>
      <c r="G98" s="8" t="n">
        <v>0.4</v>
      </c>
      <c r="H98" s="8" t="n">
        <v>0</v>
      </c>
      <c r="I98" s="7" t="n">
        <v>3.9</v>
      </c>
      <c r="J98" s="9" t="n">
        <f aca="false">F98*(1-G98)*(1-H98)</f>
        <v>3.9</v>
      </c>
      <c r="K98" s="4" t="n">
        <v>20</v>
      </c>
      <c r="L98" s="9" t="n">
        <f aca="false">J98*K98</f>
        <v>78</v>
      </c>
      <c r="M98" s="8" t="n">
        <v>0.18</v>
      </c>
      <c r="N98" s="7" t="n">
        <v>66.1</v>
      </c>
      <c r="O98" s="9" t="n">
        <f aca="false">ROUND(L98/(1+M98),2)</f>
        <v>66.1</v>
      </c>
      <c r="P98" s="9" t="n">
        <f aca="false">O98-N98</f>
        <v>0</v>
      </c>
      <c r="Q98" s="9" t="n">
        <f aca="false">ROUND(N98*M98,2)</f>
        <v>11.9</v>
      </c>
      <c r="R98" s="9" t="n">
        <f aca="false">N98+Q98</f>
        <v>78</v>
      </c>
      <c r="S98" s="10"/>
    </row>
    <row r="99" customFormat="false" ht="15" hidden="false" customHeight="false" outlineLevel="0" collapsed="false">
      <c r="A99" s="4" t="n">
        <v>95</v>
      </c>
      <c r="B99" s="5" t="s">
        <v>228</v>
      </c>
      <c r="C99" s="5" t="s">
        <v>238</v>
      </c>
      <c r="D99" s="5" t="s">
        <v>239</v>
      </c>
      <c r="E99" s="6" t="s">
        <v>37</v>
      </c>
      <c r="F99" s="7" t="n">
        <v>1.86</v>
      </c>
      <c r="G99" s="8" t="n">
        <v>0.4</v>
      </c>
      <c r="H99" s="8" t="n">
        <v>0</v>
      </c>
      <c r="I99" s="7" t="n">
        <v>1.12</v>
      </c>
      <c r="J99" s="9" t="n">
        <f aca="false">F99*(1-G99)*(1-H99)</f>
        <v>1.116</v>
      </c>
      <c r="K99" s="4" t="n">
        <v>100</v>
      </c>
      <c r="L99" s="9" t="n">
        <f aca="false">J99*K99</f>
        <v>111.6</v>
      </c>
      <c r="M99" s="8" t="n">
        <v>0.18</v>
      </c>
      <c r="N99" s="7" t="n">
        <v>94.58</v>
      </c>
      <c r="O99" s="9" t="n">
        <f aca="false">ROUND(L99/(1+M99),2)</f>
        <v>94.58</v>
      </c>
      <c r="P99" s="9" t="n">
        <f aca="false">O99-N99</f>
        <v>0</v>
      </c>
      <c r="Q99" s="9" t="n">
        <f aca="false">ROUND(N99*M99,2)</f>
        <v>17.02</v>
      </c>
      <c r="R99" s="9" t="n">
        <f aca="false">N99+Q99</f>
        <v>111.6</v>
      </c>
      <c r="S99" s="10"/>
    </row>
    <row r="100" customFormat="false" ht="15" hidden="false" customHeight="false" outlineLevel="0" collapsed="false">
      <c r="A100" s="4" t="n">
        <v>96</v>
      </c>
      <c r="B100" s="5" t="s">
        <v>228</v>
      </c>
      <c r="C100" s="5" t="s">
        <v>240</v>
      </c>
      <c r="D100" s="5" t="s">
        <v>241</v>
      </c>
      <c r="E100" s="6" t="s">
        <v>32</v>
      </c>
      <c r="F100" s="7" t="n">
        <v>5.15</v>
      </c>
      <c r="G100" s="8" t="n">
        <v>0.4</v>
      </c>
      <c r="H100" s="8" t="n">
        <v>0</v>
      </c>
      <c r="I100" s="7" t="n">
        <v>3.09</v>
      </c>
      <c r="J100" s="9" t="n">
        <f aca="false">F100*(1-G100)*(1-H100)</f>
        <v>3.09</v>
      </c>
      <c r="K100" s="4" t="n">
        <v>20</v>
      </c>
      <c r="L100" s="9" t="n">
        <f aca="false">J100*K100</f>
        <v>61.8</v>
      </c>
      <c r="M100" s="8" t="n">
        <v>0.18</v>
      </c>
      <c r="N100" s="7" t="n">
        <v>52.37</v>
      </c>
      <c r="O100" s="9" t="n">
        <f aca="false">ROUND(L100/(1+M100),2)</f>
        <v>52.37</v>
      </c>
      <c r="P100" s="9" t="n">
        <f aca="false">O100-N100</f>
        <v>0</v>
      </c>
      <c r="Q100" s="9" t="n">
        <f aca="false">ROUND(N100*M100,2)</f>
        <v>9.43</v>
      </c>
      <c r="R100" s="9" t="n">
        <f aca="false">N100+Q100</f>
        <v>61.8</v>
      </c>
      <c r="S100" s="10"/>
    </row>
    <row r="101" customFormat="false" ht="15" hidden="false" customHeight="false" outlineLevel="0" collapsed="false">
      <c r="A101" s="11" t="n">
        <v>97</v>
      </c>
      <c r="B101" s="12" t="s">
        <v>242</v>
      </c>
      <c r="C101" s="12" t="s">
        <v>243</v>
      </c>
      <c r="D101" s="12" t="s">
        <v>244</v>
      </c>
      <c r="E101" s="13" t="s">
        <v>245</v>
      </c>
      <c r="F101" s="14" t="n">
        <v>374</v>
      </c>
      <c r="G101" s="15" t="n">
        <v>0.45</v>
      </c>
      <c r="H101" s="15" t="n">
        <v>0</v>
      </c>
      <c r="I101" s="14" t="n">
        <v>205.7</v>
      </c>
      <c r="J101" s="16" t="n">
        <f aca="false">F101*(1-G101)*(1-H101)</f>
        <v>205.7</v>
      </c>
      <c r="K101" s="11" t="n">
        <v>5</v>
      </c>
      <c r="L101" s="16" t="n">
        <f aca="false">J101*K101</f>
        <v>1028.5</v>
      </c>
      <c r="M101" s="15" t="n">
        <v>0.18</v>
      </c>
      <c r="N101" s="14" t="n">
        <v>871.61</v>
      </c>
      <c r="O101" s="16" t="n">
        <f aca="false">ROUND(L101/(1+M101),2)</f>
        <v>871.61</v>
      </c>
      <c r="P101" s="16" t="n">
        <f aca="false">O101-N101</f>
        <v>0</v>
      </c>
      <c r="Q101" s="16" t="n">
        <f aca="false">ROUND(N101*M101,2)</f>
        <v>156.89</v>
      </c>
      <c r="R101" s="16" t="n">
        <f aca="false">N101+Q101</f>
        <v>1028.5</v>
      </c>
      <c r="S101" s="17"/>
    </row>
    <row r="102" customFormat="false" ht="15" hidden="false" customHeight="false" outlineLevel="0" collapsed="false">
      <c r="A102" s="11" t="n">
        <v>98</v>
      </c>
      <c r="B102" s="12" t="s">
        <v>246</v>
      </c>
      <c r="C102" s="12" t="s">
        <v>247</v>
      </c>
      <c r="D102" s="12" t="s">
        <v>248</v>
      </c>
      <c r="E102" s="13" t="s">
        <v>249</v>
      </c>
      <c r="F102" s="14" t="n">
        <v>280</v>
      </c>
      <c r="G102" s="15" t="n">
        <v>0.4</v>
      </c>
      <c r="H102" s="15" t="n">
        <v>0</v>
      </c>
      <c r="I102" s="14" t="n">
        <v>168</v>
      </c>
      <c r="J102" s="16" t="n">
        <f aca="false">F102*(1-G102)*(1-H102)</f>
        <v>168</v>
      </c>
      <c r="K102" s="11" t="n">
        <v>5</v>
      </c>
      <c r="L102" s="16" t="n">
        <f aca="false">J102*K102</f>
        <v>840</v>
      </c>
      <c r="M102" s="15" t="n">
        <v>0.18</v>
      </c>
      <c r="N102" s="14" t="n">
        <v>711.86</v>
      </c>
      <c r="O102" s="16" t="n">
        <f aca="false">ROUND(L102/(1+M102),2)</f>
        <v>711.86</v>
      </c>
      <c r="P102" s="16" t="n">
        <f aca="false">O102-N102</f>
        <v>0</v>
      </c>
      <c r="Q102" s="16" t="n">
        <f aca="false">ROUND(N102*M102,2)</f>
        <v>128.13</v>
      </c>
      <c r="R102" s="16" t="n">
        <f aca="false">N102+Q102</f>
        <v>839.99</v>
      </c>
      <c r="S102" s="17"/>
    </row>
    <row r="103" customFormat="false" ht="15" hidden="false" customHeight="false" outlineLevel="0" collapsed="false">
      <c r="A103" s="4" t="n">
        <v>99</v>
      </c>
      <c r="B103" s="5" t="s">
        <v>246</v>
      </c>
      <c r="C103" s="5" t="s">
        <v>250</v>
      </c>
      <c r="D103" s="5" t="s">
        <v>251</v>
      </c>
      <c r="E103" s="6" t="s">
        <v>249</v>
      </c>
      <c r="F103" s="7" t="n">
        <v>440</v>
      </c>
      <c r="G103" s="8" t="n">
        <v>0.4</v>
      </c>
      <c r="H103" s="8" t="n">
        <v>0</v>
      </c>
      <c r="I103" s="7" t="n">
        <v>264</v>
      </c>
      <c r="J103" s="9" t="n">
        <f aca="false">F103*(1-G103)*(1-H103)</f>
        <v>264</v>
      </c>
      <c r="K103" s="4" t="n">
        <v>5</v>
      </c>
      <c r="L103" s="9" t="n">
        <f aca="false">J103*K103</f>
        <v>1320</v>
      </c>
      <c r="M103" s="8" t="n">
        <v>0.18</v>
      </c>
      <c r="N103" s="7" t="n">
        <v>1118.64</v>
      </c>
      <c r="O103" s="9" t="n">
        <f aca="false">ROUND(L103/(1+M103),2)</f>
        <v>1118.64</v>
      </c>
      <c r="P103" s="9" t="n">
        <f aca="false">O103-N103</f>
        <v>0</v>
      </c>
      <c r="Q103" s="9" t="n">
        <f aca="false">ROUND(N103*M103,2)</f>
        <v>201.36</v>
      </c>
      <c r="R103" s="9" t="n">
        <f aca="false">N103+Q103</f>
        <v>1320</v>
      </c>
      <c r="S103" s="10"/>
    </row>
    <row r="104" customFormat="false" ht="15" hidden="false" customHeight="false" outlineLevel="0" collapsed="false">
      <c r="A104" s="11" t="n">
        <v>100</v>
      </c>
      <c r="B104" s="12" t="s">
        <v>252</v>
      </c>
      <c r="C104" s="12" t="s">
        <v>253</v>
      </c>
      <c r="D104" s="12" t="s">
        <v>254</v>
      </c>
      <c r="E104" s="13" t="s">
        <v>24</v>
      </c>
      <c r="F104" s="14" t="n">
        <v>70</v>
      </c>
      <c r="G104" s="15" t="n">
        <v>0.28</v>
      </c>
      <c r="H104" s="15" t="n">
        <v>0</v>
      </c>
      <c r="I104" s="14" t="n">
        <v>50.4</v>
      </c>
      <c r="J104" s="16" t="n">
        <f aca="false">F104*(1-G104)*(1-H104)</f>
        <v>50.4</v>
      </c>
      <c r="K104" s="11" t="n">
        <v>10</v>
      </c>
      <c r="L104" s="16" t="n">
        <f aca="false">J104*K104</f>
        <v>504</v>
      </c>
      <c r="M104" s="15" t="n">
        <v>0.18</v>
      </c>
      <c r="N104" s="14" t="n">
        <v>427.12</v>
      </c>
      <c r="O104" s="16" t="n">
        <f aca="false">ROUND(L104/(1+M104),2)</f>
        <v>427.12</v>
      </c>
      <c r="P104" s="16" t="n">
        <f aca="false">O104-N104</f>
        <v>0</v>
      </c>
      <c r="Q104" s="16" t="n">
        <f aca="false">ROUND(N104*M104,2)</f>
        <v>76.88</v>
      </c>
      <c r="R104" s="16" t="n">
        <f aca="false">N104+Q104</f>
        <v>504</v>
      </c>
      <c r="S104" s="17"/>
    </row>
    <row r="105" customFormat="false" ht="15" hidden="false" customHeight="false" outlineLevel="0" collapsed="false">
      <c r="A105" s="4" t="n">
        <v>101</v>
      </c>
      <c r="B105" s="5" t="s">
        <v>252</v>
      </c>
      <c r="C105" s="5" t="s">
        <v>255</v>
      </c>
      <c r="D105" s="5" t="s">
        <v>256</v>
      </c>
      <c r="E105" s="6" t="s">
        <v>24</v>
      </c>
      <c r="F105" s="7" t="n">
        <v>112</v>
      </c>
      <c r="G105" s="8" t="n">
        <v>0.28</v>
      </c>
      <c r="H105" s="8" t="n">
        <v>0</v>
      </c>
      <c r="I105" s="7" t="n">
        <v>80.64</v>
      </c>
      <c r="J105" s="9" t="n">
        <f aca="false">F105*(1-G105)*(1-H105)</f>
        <v>80.64</v>
      </c>
      <c r="K105" s="4" t="n">
        <v>2</v>
      </c>
      <c r="L105" s="9" t="n">
        <f aca="false">J105*K105</f>
        <v>161.28</v>
      </c>
      <c r="M105" s="8" t="n">
        <v>0.18</v>
      </c>
      <c r="N105" s="7" t="n">
        <v>136.68</v>
      </c>
      <c r="O105" s="9" t="n">
        <f aca="false">ROUND(L105/(1+M105),2)</f>
        <v>136.68</v>
      </c>
      <c r="P105" s="9" t="n">
        <f aca="false">O105-N105</f>
        <v>0</v>
      </c>
      <c r="Q105" s="9" t="n">
        <f aca="false">ROUND(N105*M105,2)</f>
        <v>24.6</v>
      </c>
      <c r="R105" s="9" t="n">
        <f aca="false">N105+Q105</f>
        <v>161.28</v>
      </c>
      <c r="S105" s="10"/>
    </row>
    <row r="106" customFormat="false" ht="15" hidden="false" customHeight="false" outlineLevel="0" collapsed="false">
      <c r="A106" s="4" t="n">
        <v>102</v>
      </c>
      <c r="B106" s="5" t="s">
        <v>252</v>
      </c>
      <c r="C106" s="5" t="s">
        <v>257</v>
      </c>
      <c r="D106" s="5" t="s">
        <v>258</v>
      </c>
      <c r="E106" s="6" t="s">
        <v>24</v>
      </c>
      <c r="F106" s="7" t="n">
        <v>91</v>
      </c>
      <c r="G106" s="8" t="n">
        <v>0.28</v>
      </c>
      <c r="H106" s="8" t="n">
        <v>0</v>
      </c>
      <c r="I106" s="7" t="n">
        <v>65.52</v>
      </c>
      <c r="J106" s="9" t="n">
        <f aca="false">F106*(1-G106)*(1-H106)</f>
        <v>65.52</v>
      </c>
      <c r="K106" s="4" t="n">
        <v>10</v>
      </c>
      <c r="L106" s="9" t="n">
        <f aca="false">J106*K106</f>
        <v>655.2</v>
      </c>
      <c r="M106" s="8" t="n">
        <v>0.18</v>
      </c>
      <c r="N106" s="7" t="n">
        <v>555.25</v>
      </c>
      <c r="O106" s="9" t="n">
        <f aca="false">ROUND(L106/(1+M106),2)</f>
        <v>555.25</v>
      </c>
      <c r="P106" s="9" t="n">
        <f aca="false">O106-N106</f>
        <v>0</v>
      </c>
      <c r="Q106" s="9" t="n">
        <f aca="false">ROUND(N106*M106,2)</f>
        <v>99.95</v>
      </c>
      <c r="R106" s="9" t="n">
        <f aca="false">N106+Q106</f>
        <v>655.2</v>
      </c>
      <c r="S106" s="10"/>
    </row>
    <row r="107" customFormat="false" ht="15" hidden="false" customHeight="false" outlineLevel="0" collapsed="false">
      <c r="A107" s="4" t="n">
        <v>103</v>
      </c>
      <c r="B107" s="5" t="s">
        <v>252</v>
      </c>
      <c r="C107" s="5" t="s">
        <v>259</v>
      </c>
      <c r="D107" s="5" t="s">
        <v>260</v>
      </c>
      <c r="E107" s="6" t="s">
        <v>261</v>
      </c>
      <c r="F107" s="7" t="n">
        <v>19</v>
      </c>
      <c r="G107" s="8" t="n">
        <v>0.28</v>
      </c>
      <c r="H107" s="8" t="n">
        <v>0</v>
      </c>
      <c r="I107" s="7" t="n">
        <v>13.68</v>
      </c>
      <c r="J107" s="9" t="n">
        <f aca="false">F107*(1-G107)*(1-H107)</f>
        <v>13.68</v>
      </c>
      <c r="K107" s="4" t="n">
        <v>20</v>
      </c>
      <c r="L107" s="9" t="n">
        <f aca="false">J107*K107</f>
        <v>273.6</v>
      </c>
      <c r="M107" s="8" t="n">
        <v>0.18</v>
      </c>
      <c r="N107" s="7" t="n">
        <v>231.86</v>
      </c>
      <c r="O107" s="9" t="n">
        <f aca="false">ROUND(L107/(1+M107),2)</f>
        <v>231.86</v>
      </c>
      <c r="P107" s="9" t="n">
        <f aca="false">O107-N107</f>
        <v>0</v>
      </c>
      <c r="Q107" s="9" t="n">
        <f aca="false">ROUND(N107*M107,2)</f>
        <v>41.73</v>
      </c>
      <c r="R107" s="9" t="n">
        <f aca="false">N107+Q107</f>
        <v>273.59</v>
      </c>
      <c r="S107" s="10" t="s">
        <v>167</v>
      </c>
    </row>
    <row r="108" customFormat="false" ht="15" hidden="false" customHeight="false" outlineLevel="0" collapsed="false">
      <c r="A108" s="4" t="n">
        <v>104</v>
      </c>
      <c r="B108" s="5" t="s">
        <v>252</v>
      </c>
      <c r="C108" s="5" t="s">
        <v>262</v>
      </c>
      <c r="D108" s="5" t="s">
        <v>263</v>
      </c>
      <c r="E108" s="6" t="s">
        <v>32</v>
      </c>
      <c r="F108" s="7" t="n">
        <v>73</v>
      </c>
      <c r="G108" s="8" t="n">
        <v>0.28</v>
      </c>
      <c r="H108" s="8" t="n">
        <v>0</v>
      </c>
      <c r="I108" s="7" t="n">
        <v>52.56</v>
      </c>
      <c r="J108" s="9" t="n">
        <f aca="false">F108*(1-G108)*(1-H108)</f>
        <v>52.56</v>
      </c>
      <c r="K108" s="4" t="n">
        <v>5</v>
      </c>
      <c r="L108" s="9" t="n">
        <f aca="false">J108*K108</f>
        <v>262.8</v>
      </c>
      <c r="M108" s="8" t="n">
        <v>0.18</v>
      </c>
      <c r="N108" s="7" t="n">
        <v>222.71</v>
      </c>
      <c r="O108" s="9" t="n">
        <f aca="false">ROUND(L108/(1+M108),2)</f>
        <v>222.71</v>
      </c>
      <c r="P108" s="9" t="n">
        <f aca="false">O108-N108</f>
        <v>0</v>
      </c>
      <c r="Q108" s="9" t="n">
        <f aca="false">ROUND(N108*M108,2)</f>
        <v>40.09</v>
      </c>
      <c r="R108" s="9" t="n">
        <f aca="false">N108+Q108</f>
        <v>262.8</v>
      </c>
      <c r="S108" s="10"/>
    </row>
    <row r="109" customFormat="false" ht="15" hidden="false" customHeight="false" outlineLevel="0" collapsed="false">
      <c r="A109" s="4" t="n">
        <v>105</v>
      </c>
      <c r="B109" s="5" t="s">
        <v>252</v>
      </c>
      <c r="C109" s="5" t="s">
        <v>264</v>
      </c>
      <c r="D109" s="5" t="s">
        <v>265</v>
      </c>
      <c r="E109" s="6" t="s">
        <v>24</v>
      </c>
      <c r="F109" s="7" t="n">
        <v>260</v>
      </c>
      <c r="G109" s="8" t="n">
        <v>0.28</v>
      </c>
      <c r="H109" s="8" t="n">
        <v>0</v>
      </c>
      <c r="I109" s="7" t="n">
        <v>187.2</v>
      </c>
      <c r="J109" s="9" t="n">
        <f aca="false">F109*(1-G109)*(1-H109)</f>
        <v>187.2</v>
      </c>
      <c r="K109" s="4" t="n">
        <v>3</v>
      </c>
      <c r="L109" s="9" t="n">
        <f aca="false">J109*K109</f>
        <v>561.6</v>
      </c>
      <c r="M109" s="8" t="n">
        <v>0.18</v>
      </c>
      <c r="N109" s="7" t="n">
        <v>475.93</v>
      </c>
      <c r="O109" s="9" t="n">
        <f aca="false">ROUND(L109/(1+M109),2)</f>
        <v>475.93</v>
      </c>
      <c r="P109" s="9" t="n">
        <f aca="false">O109-N109</f>
        <v>0</v>
      </c>
      <c r="Q109" s="9" t="n">
        <f aca="false">ROUND(N109*M109,2)</f>
        <v>85.67</v>
      </c>
      <c r="R109" s="9" t="n">
        <f aca="false">N109+Q109</f>
        <v>561.6</v>
      </c>
      <c r="S109" s="10"/>
    </row>
    <row r="110" customFormat="false" ht="15" hidden="false" customHeight="false" outlineLevel="0" collapsed="false">
      <c r="A110" s="11" t="n">
        <v>106</v>
      </c>
      <c r="B110" s="12" t="s">
        <v>266</v>
      </c>
      <c r="C110" s="12" t="s">
        <v>267</v>
      </c>
      <c r="D110" s="12" t="s">
        <v>268</v>
      </c>
      <c r="E110" s="13" t="s">
        <v>32</v>
      </c>
      <c r="F110" s="14" t="n">
        <v>308</v>
      </c>
      <c r="G110" s="15" t="n">
        <v>0.4</v>
      </c>
      <c r="H110" s="15" t="n">
        <v>0</v>
      </c>
      <c r="I110" s="14" t="n">
        <v>184.8</v>
      </c>
      <c r="J110" s="16" t="n">
        <f aca="false">F110*(1-G110)*(1-H110)</f>
        <v>184.8</v>
      </c>
      <c r="K110" s="11" t="n">
        <v>1</v>
      </c>
      <c r="L110" s="16" t="n">
        <f aca="false">J110*K110</f>
        <v>184.8</v>
      </c>
      <c r="M110" s="15" t="n">
        <v>0.18</v>
      </c>
      <c r="N110" s="14" t="n">
        <v>156.61</v>
      </c>
      <c r="O110" s="16" t="n">
        <f aca="false">ROUND(L110/(1+M110),2)</f>
        <v>156.61</v>
      </c>
      <c r="P110" s="16" t="n">
        <f aca="false">O110-N110</f>
        <v>0</v>
      </c>
      <c r="Q110" s="16" t="n">
        <f aca="false">ROUND(N110*M110,2)</f>
        <v>28.19</v>
      </c>
      <c r="R110" s="16" t="n">
        <f aca="false">N110+Q110</f>
        <v>184.8</v>
      </c>
      <c r="S110" s="17"/>
    </row>
    <row r="111" customFormat="false" ht="15" hidden="false" customHeight="false" outlineLevel="0" collapsed="false">
      <c r="A111" s="18" t="s">
        <v>269</v>
      </c>
      <c r="B111" s="19"/>
      <c r="C111" s="19"/>
      <c r="D111" s="18" t="s">
        <v>270</v>
      </c>
      <c r="E111" s="19"/>
      <c r="F111" s="19"/>
      <c r="G111" s="19"/>
      <c r="H111" s="19"/>
      <c r="I111" s="19"/>
      <c r="J111" s="19"/>
      <c r="K111" s="20" t="n">
        <f aca="false">SUM(K5:K110)</f>
        <v>1800</v>
      </c>
      <c r="L111" s="21" t="n">
        <f aca="false">SUM(L5:L110)</f>
        <v>148768.795</v>
      </c>
      <c r="M111" s="19"/>
      <c r="N111" s="21" t="n">
        <f aca="false">SUM(N5:N110)</f>
        <v>126075.27</v>
      </c>
      <c r="O111" s="21" t="n">
        <f aca="false">SUM(O5:O110)</f>
        <v>126075.27</v>
      </c>
      <c r="P111" s="21" t="n">
        <f aca="false">SUM(P5:P110)</f>
        <v>0</v>
      </c>
      <c r="Q111" s="21" t="n">
        <f aca="false">SUM(Q5:Q110)</f>
        <v>22693.58</v>
      </c>
      <c r="R111" s="21" t="n">
        <f aca="false">SUM(R5:R110)</f>
        <v>148768.85</v>
      </c>
      <c r="S111" s="19"/>
    </row>
    <row r="113" customFormat="false" ht="15" hidden="false" customHeight="false" outlineLevel="0" collapsed="false">
      <c r="A113" s="22" t="s">
        <v>20</v>
      </c>
    </row>
    <row r="114" customFormat="false" ht="25.5" hidden="false" customHeight="true" outlineLevel="0" collapsed="false">
      <c r="A114" s="23" t="s">
        <v>271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 customFormat="false" ht="25.5" hidden="false" customHeight="true" outlineLevel="0" collapsed="false">
      <c r="A115" s="23" t="s">
        <v>272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 customFormat="false" ht="25.5" hidden="false" customHeight="true" outlineLevel="0" collapsed="false">
      <c r="A116" s="23" t="s">
        <v>273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customFormat="false" ht="25.5" hidden="false" customHeight="true" outlineLevel="0" collapsed="false">
      <c r="A117" s="23" t="s">
        <v>274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 customFormat="false" ht="25.5" hidden="false" customHeight="true" outlineLevel="0" collapsed="false">
      <c r="A118" s="23" t="s">
        <v>275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 customFormat="false" ht="25.5" hidden="false" customHeight="true" outlineLevel="0" collapsed="false">
      <c r="A119" s="23" t="s">
        <v>276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</sheetData>
  <autoFilter ref="A4:S110"/>
  <mergeCells count="6">
    <mergeCell ref="A114:S114"/>
    <mergeCell ref="A115:S115"/>
    <mergeCell ref="A116:S116"/>
    <mergeCell ref="A117:S117"/>
    <mergeCell ref="A118:S118"/>
    <mergeCell ref="A119:S1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16.15" hidden="false" customHeight="false" outlineLevel="0" collapsed="false">
      <c r="A1" s="1" t="s">
        <v>277</v>
      </c>
    </row>
    <row r="3" customFormat="false" ht="15" hidden="false" customHeight="true" outlineLevel="0" collapsed="false">
      <c r="A3" s="22" t="s">
        <v>278</v>
      </c>
      <c r="B3" s="24" t="s">
        <v>279</v>
      </c>
      <c r="C3" s="24"/>
      <c r="D3" s="24"/>
      <c r="E3" s="24"/>
      <c r="F3" s="24"/>
    </row>
    <row r="4" customFormat="false" ht="23.85" hidden="false" customHeight="true" outlineLevel="0" collapsed="false">
      <c r="A4" s="22" t="s">
        <v>280</v>
      </c>
      <c r="B4" s="24" t="s">
        <v>281</v>
      </c>
      <c r="C4" s="24"/>
      <c r="D4" s="24"/>
      <c r="E4" s="24"/>
      <c r="F4" s="24"/>
    </row>
    <row r="5" customFormat="false" ht="15" hidden="false" customHeight="true" outlineLevel="0" collapsed="false">
      <c r="A5" s="22" t="s">
        <v>282</v>
      </c>
      <c r="B5" s="24" t="s">
        <v>283</v>
      </c>
      <c r="C5" s="24"/>
      <c r="D5" s="24"/>
      <c r="E5" s="24"/>
      <c r="F5" s="24"/>
    </row>
    <row r="6" customFormat="false" ht="15" hidden="false" customHeight="true" outlineLevel="0" collapsed="false">
      <c r="A6" s="22" t="s">
        <v>284</v>
      </c>
      <c r="B6" s="24" t="s">
        <v>285</v>
      </c>
      <c r="C6" s="24"/>
      <c r="D6" s="24"/>
      <c r="E6" s="24"/>
      <c r="F6" s="24"/>
    </row>
    <row r="7" customFormat="false" ht="15" hidden="false" customHeight="true" outlineLevel="0" collapsed="false">
      <c r="A7" s="22" t="s">
        <v>286</v>
      </c>
      <c r="B7" s="24" t="s">
        <v>287</v>
      </c>
      <c r="C7" s="24"/>
      <c r="D7" s="24"/>
      <c r="E7" s="24"/>
      <c r="F7" s="24"/>
    </row>
    <row r="8" customFormat="false" ht="15" hidden="false" customHeight="true" outlineLevel="0" collapsed="false">
      <c r="A8" s="22" t="s">
        <v>288</v>
      </c>
      <c r="B8" s="24" t="s">
        <v>289</v>
      </c>
      <c r="C8" s="24"/>
      <c r="D8" s="24"/>
      <c r="E8" s="24"/>
      <c r="F8" s="24"/>
    </row>
    <row r="9" customFormat="false" ht="15" hidden="false" customHeight="true" outlineLevel="0" collapsed="false">
      <c r="A9" s="22" t="s">
        <v>290</v>
      </c>
      <c r="B9" s="24" t="s">
        <v>291</v>
      </c>
      <c r="C9" s="24"/>
      <c r="D9" s="24"/>
      <c r="E9" s="24"/>
      <c r="F9" s="24"/>
    </row>
    <row r="10" customFormat="false" ht="15" hidden="false" customHeight="true" outlineLevel="0" collapsed="false">
      <c r="A10" s="22" t="s">
        <v>292</v>
      </c>
      <c r="B10" s="24" t="s">
        <v>293</v>
      </c>
      <c r="C10" s="24"/>
      <c r="D10" s="24"/>
      <c r="E10" s="24"/>
      <c r="F10" s="24"/>
    </row>
    <row r="11" customFormat="false" ht="15" hidden="false" customHeight="true" outlineLevel="0" collapsed="false">
      <c r="A11" s="22" t="s">
        <v>294</v>
      </c>
      <c r="B11" s="24" t="s">
        <v>295</v>
      </c>
      <c r="C11" s="24"/>
      <c r="D11" s="24"/>
      <c r="E11" s="24"/>
      <c r="F11" s="24"/>
    </row>
    <row r="12" customFormat="false" ht="15" hidden="false" customHeight="true" outlineLevel="0" collapsed="false">
      <c r="A12" s="22" t="s">
        <v>296</v>
      </c>
      <c r="B12" s="24" t="s">
        <v>297</v>
      </c>
      <c r="C12" s="24"/>
      <c r="D12" s="24"/>
      <c r="E12" s="24"/>
      <c r="F12" s="24"/>
    </row>
    <row r="13" customFormat="false" ht="15" hidden="false" customHeight="true" outlineLevel="0" collapsed="false">
      <c r="A13" s="22" t="s">
        <v>298</v>
      </c>
      <c r="B13" s="24" t="s">
        <v>299</v>
      </c>
      <c r="C13" s="24"/>
      <c r="D13" s="24"/>
      <c r="E13" s="24"/>
      <c r="F13" s="24"/>
    </row>
    <row r="14" customFormat="false" ht="15" hidden="false" customHeight="true" outlineLevel="0" collapsed="false">
      <c r="A14" s="22" t="s">
        <v>300</v>
      </c>
      <c r="B14" s="24" t="s">
        <v>301</v>
      </c>
      <c r="C14" s="24"/>
      <c r="D14" s="24"/>
      <c r="E14" s="24"/>
      <c r="F14" s="24"/>
    </row>
    <row r="15" customFormat="false" ht="15" hidden="false" customHeight="true" outlineLevel="0" collapsed="false">
      <c r="A15" s="22" t="s">
        <v>302</v>
      </c>
      <c r="B15" s="24" t="s">
        <v>291</v>
      </c>
      <c r="C15" s="24"/>
      <c r="D15" s="24"/>
      <c r="E15" s="24"/>
      <c r="F15" s="24"/>
    </row>
    <row r="16" customFormat="false" ht="15" hidden="false" customHeight="true" outlineLevel="0" collapsed="false">
      <c r="A16" s="22" t="s">
        <v>303</v>
      </c>
      <c r="B16" s="24" t="s">
        <v>304</v>
      </c>
      <c r="C16" s="24"/>
      <c r="D16" s="24"/>
      <c r="E16" s="24"/>
      <c r="F16" s="24"/>
    </row>
    <row r="19" customFormat="false" ht="15" hidden="false" customHeight="false" outlineLevel="0" collapsed="false">
      <c r="A19" s="25" t="s">
        <v>305</v>
      </c>
      <c r="C19" s="25" t="s">
        <v>306</v>
      </c>
      <c r="D19" s="25" t="s">
        <v>307</v>
      </c>
      <c r="E19" s="25" t="s">
        <v>308</v>
      </c>
    </row>
    <row r="20" customFormat="false" ht="15" hidden="false" customHeight="false" outlineLevel="0" collapsed="false">
      <c r="A20" s="26" t="s">
        <v>309</v>
      </c>
      <c r="C20" s="9" t="n">
        <f aca="false">SUM('Line Items'!N5:N110)</f>
        <v>126075.27</v>
      </c>
      <c r="D20" s="7" t="n">
        <v>126075.35</v>
      </c>
      <c r="E20" s="27" t="s">
        <v>310</v>
      </c>
    </row>
    <row r="21" customFormat="false" ht="15" hidden="false" customHeight="false" outlineLevel="0" collapsed="false">
      <c r="A21" s="26" t="s">
        <v>311</v>
      </c>
      <c r="C21" s="9" t="n">
        <f aca="false">ROUND(C20*0.09,2)</f>
        <v>11346.77</v>
      </c>
      <c r="D21" s="7" t="n">
        <v>11346.72</v>
      </c>
      <c r="E21" s="27" t="s">
        <v>312</v>
      </c>
    </row>
    <row r="22" customFormat="false" ht="15" hidden="false" customHeight="false" outlineLevel="0" collapsed="false">
      <c r="A22" s="26" t="s">
        <v>313</v>
      </c>
      <c r="C22" s="9" t="n">
        <f aca="false">ROUND(C20*0.09,2)</f>
        <v>11346.77</v>
      </c>
      <c r="D22" s="7" t="n">
        <v>11346.72</v>
      </c>
      <c r="E22" s="27" t="s">
        <v>314</v>
      </c>
    </row>
    <row r="23" customFormat="false" ht="15" hidden="false" customHeight="false" outlineLevel="0" collapsed="false">
      <c r="A23" s="26" t="s">
        <v>315</v>
      </c>
      <c r="C23" s="9" t="n">
        <f aca="false">C21+C22</f>
        <v>22693.54</v>
      </c>
      <c r="D23" s="7" t="n">
        <v>22693.44</v>
      </c>
      <c r="E23" s="27" t="s">
        <v>316</v>
      </c>
    </row>
    <row r="24" customFormat="false" ht="15" hidden="false" customHeight="false" outlineLevel="0" collapsed="false">
      <c r="A24" s="26" t="s">
        <v>317</v>
      </c>
      <c r="C24" s="7" t="n">
        <v>0</v>
      </c>
      <c r="D24" s="7" t="n">
        <v>0</v>
      </c>
      <c r="E24" s="27" t="s">
        <v>318</v>
      </c>
    </row>
    <row r="25" customFormat="false" ht="15" hidden="false" customHeight="false" outlineLevel="0" collapsed="false">
      <c r="A25" s="26" t="s">
        <v>319</v>
      </c>
      <c r="C25" s="7" t="n">
        <v>0.21</v>
      </c>
      <c r="D25" s="7" t="n">
        <v>0.21</v>
      </c>
      <c r="E25" s="27" t="s">
        <v>318</v>
      </c>
    </row>
    <row r="26" customFormat="false" ht="15" hidden="false" customHeight="false" outlineLevel="0" collapsed="false">
      <c r="A26" s="28" t="s">
        <v>320</v>
      </c>
      <c r="C26" s="29" t="n">
        <f aca="false">C20+C23+C24+C25</f>
        <v>148769.02</v>
      </c>
      <c r="D26" s="29" t="n">
        <v>148769</v>
      </c>
      <c r="E26" s="30" t="s">
        <v>321</v>
      </c>
    </row>
    <row r="27" customFormat="false" ht="15" hidden="false" customHeight="false" outlineLevel="0" collapsed="false">
      <c r="A27" s="22" t="s">
        <v>322</v>
      </c>
      <c r="C27" s="31" t="n">
        <f aca="false">SUM('Line Items'!K5:K110)</f>
        <v>1800</v>
      </c>
      <c r="D27" s="32" t="n">
        <v>1800</v>
      </c>
    </row>
    <row r="30" customFormat="false" ht="15" hidden="false" customHeight="false" outlineLevel="0" collapsed="false">
      <c r="A30" s="33" t="s">
        <v>323</v>
      </c>
    </row>
    <row r="31" customFormat="false" ht="27.75" hidden="false" customHeight="true" outlineLevel="0" collapsed="false">
      <c r="A31" s="34" t="s">
        <v>3</v>
      </c>
      <c r="B31" s="34" t="s">
        <v>324</v>
      </c>
      <c r="C31" s="34" t="s">
        <v>12</v>
      </c>
      <c r="D31" s="34" t="s">
        <v>325</v>
      </c>
      <c r="E31" s="34" t="s">
        <v>326</v>
      </c>
      <c r="F31" s="34" t="s">
        <v>327</v>
      </c>
      <c r="G31" s="34" t="s">
        <v>328</v>
      </c>
      <c r="H31" s="34" t="s">
        <v>329</v>
      </c>
    </row>
    <row r="32" customFormat="false" ht="15" hidden="false" customHeight="false" outlineLevel="0" collapsed="false">
      <c r="A32" s="5" t="s">
        <v>21</v>
      </c>
      <c r="B32" s="35" t="n">
        <f aca="false">COUNTIF('Line Items'!$B$5:$B$110,$A32)</f>
        <v>3</v>
      </c>
      <c r="C32" s="35" t="n">
        <f aca="false">SUMIF('Line Items'!$B$5:$B$110,$A32,'Line Items'!$K$5:$K$110)</f>
        <v>70</v>
      </c>
      <c r="D32" s="9" t="n">
        <f aca="false">SUMPRODUCT(('Line Items'!$B$5:$B$110=$A32)*'Line Items'!$F$5:$F$110*'Line Items'!$K$5:$K$110)</f>
        <v>21720</v>
      </c>
      <c r="E32" s="7" t="n">
        <v>21720</v>
      </c>
      <c r="F32" s="9" t="n">
        <f aca="false">SUMPRODUCT(('Line Items'!$B$5:$B$110=$A32)*'Line Items'!$J$5:$J$110*'Line Items'!$K$5:$K$110)</f>
        <v>11946</v>
      </c>
      <c r="G32" s="7" t="n">
        <v>11946</v>
      </c>
      <c r="H32" s="9" t="n">
        <f aca="false">SUMIF('Line Items'!$B$5:$B$110,$A32,'Line Items'!$N$5:$N$110)</f>
        <v>10123.73</v>
      </c>
    </row>
    <row r="33" customFormat="false" ht="15" hidden="false" customHeight="false" outlineLevel="0" collapsed="false">
      <c r="A33" s="5" t="s">
        <v>29</v>
      </c>
      <c r="B33" s="35" t="n">
        <f aca="false">COUNTIF('Line Items'!$B$5:$B$110,$A33)</f>
        <v>3</v>
      </c>
      <c r="C33" s="35" t="n">
        <f aca="false">SUMIF('Line Items'!$B$5:$B$110,$A33,'Line Items'!$K$5:$K$110)</f>
        <v>205</v>
      </c>
      <c r="D33" s="9" t="n">
        <f aca="false">SUMPRODUCT(('Line Items'!$B$5:$B$110=$A33)*'Line Items'!$F$5:$F$110*'Line Items'!$K$5:$K$110)</f>
        <v>1795</v>
      </c>
      <c r="E33" s="7" t="n">
        <v>1795</v>
      </c>
      <c r="F33" s="9" t="n">
        <f aca="false">SUMPRODUCT(('Line Items'!$B$5:$B$110=$A33)*'Line Items'!$J$5:$J$110*'Line Items'!$K$5:$K$110)</f>
        <v>987.25</v>
      </c>
      <c r="G33" s="7" t="n">
        <v>987.25</v>
      </c>
      <c r="H33" s="9" t="n">
        <f aca="false">SUMIF('Line Items'!$B$5:$B$110,$A33,'Line Items'!$N$5:$N$110)</f>
        <v>836.65</v>
      </c>
    </row>
    <row r="34" customFormat="false" ht="15" hidden="false" customHeight="false" outlineLevel="0" collapsed="false">
      <c r="A34" s="5" t="s">
        <v>38</v>
      </c>
      <c r="B34" s="35" t="n">
        <f aca="false">COUNTIF('Line Items'!$B$5:$B$110,$A34)</f>
        <v>2</v>
      </c>
      <c r="C34" s="35" t="n">
        <f aca="false">SUMIF('Line Items'!$B$5:$B$110,$A34,'Line Items'!$K$5:$K$110)</f>
        <v>19</v>
      </c>
      <c r="D34" s="9" t="n">
        <f aca="false">SUMPRODUCT(('Line Items'!$B$5:$B$110=$A34)*'Line Items'!$F$5:$F$110*'Line Items'!$K$5:$K$110)</f>
        <v>7932</v>
      </c>
      <c r="E34" s="7" t="n">
        <v>7932</v>
      </c>
      <c r="F34" s="9" t="n">
        <f aca="false">SUMPRODUCT(('Line Items'!$B$5:$B$110=$A34)*'Line Items'!$J$5:$J$110*'Line Items'!$K$5:$K$110)</f>
        <v>5307</v>
      </c>
      <c r="G34" s="7" t="n">
        <v>5307</v>
      </c>
      <c r="H34" s="9" t="n">
        <f aca="false">SUMIF('Line Items'!$B$5:$B$110,$A34,'Line Items'!$N$5:$N$110)</f>
        <v>4497.46</v>
      </c>
    </row>
    <row r="35" customFormat="false" ht="15" hidden="false" customHeight="false" outlineLevel="0" collapsed="false">
      <c r="A35" s="5" t="s">
        <v>43</v>
      </c>
      <c r="B35" s="35" t="n">
        <f aca="false">COUNTIF('Line Items'!$B$5:$B$110,$A35)</f>
        <v>1</v>
      </c>
      <c r="C35" s="35" t="n">
        <f aca="false">SUMIF('Line Items'!$B$5:$B$110,$A35,'Line Items'!$K$5:$K$110)</f>
        <v>30</v>
      </c>
      <c r="D35" s="9" t="n">
        <f aca="false">SUMPRODUCT(('Line Items'!$B$5:$B$110=$A35)*'Line Items'!$F$5:$F$110*'Line Items'!$K$5:$K$110)</f>
        <v>510</v>
      </c>
      <c r="E35" s="7" t="n">
        <v>510</v>
      </c>
      <c r="F35" s="9" t="n">
        <f aca="false">SUMPRODUCT(('Line Items'!$B$5:$B$110=$A35)*'Line Items'!$J$5:$J$110*'Line Items'!$K$5:$K$110)</f>
        <v>346.8</v>
      </c>
      <c r="G35" s="7" t="n">
        <v>346.8</v>
      </c>
      <c r="H35" s="9" t="n">
        <f aca="false">SUMIF('Line Items'!$B$5:$B$110,$A35,'Line Items'!$N$5:$N$110)</f>
        <v>293.9</v>
      </c>
    </row>
    <row r="36" customFormat="false" ht="15" hidden="false" customHeight="false" outlineLevel="0" collapsed="false">
      <c r="A36" s="5" t="s">
        <v>46</v>
      </c>
      <c r="B36" s="35" t="n">
        <f aca="false">COUNTIF('Line Items'!$B$5:$B$110,$A36)</f>
        <v>1</v>
      </c>
      <c r="C36" s="35" t="n">
        <f aca="false">SUMIF('Line Items'!$B$5:$B$110,$A36,'Line Items'!$K$5:$K$110)</f>
        <v>5</v>
      </c>
      <c r="D36" s="9" t="n">
        <f aca="false">SUMPRODUCT(('Line Items'!$B$5:$B$110=$A36)*'Line Items'!$F$5:$F$110*'Line Items'!$K$5:$K$110)</f>
        <v>440</v>
      </c>
      <c r="E36" s="7" t="n">
        <v>440</v>
      </c>
      <c r="F36" s="9" t="n">
        <f aca="false">SUMPRODUCT(('Line Items'!$B$5:$B$110=$A36)*'Line Items'!$J$5:$J$110*'Line Items'!$K$5:$K$110)</f>
        <v>264</v>
      </c>
      <c r="G36" s="7" t="n">
        <v>264</v>
      </c>
      <c r="H36" s="9" t="n">
        <f aca="false">SUMIF('Line Items'!$B$5:$B$110,$A36,'Line Items'!$N$5:$N$110)</f>
        <v>223.73</v>
      </c>
    </row>
    <row r="37" customFormat="false" ht="15" hidden="false" customHeight="false" outlineLevel="0" collapsed="false">
      <c r="A37" s="5" t="s">
        <v>49</v>
      </c>
      <c r="B37" s="35" t="n">
        <f aca="false">COUNTIF('Line Items'!$B$5:$B$110,$A37)</f>
        <v>13</v>
      </c>
      <c r="C37" s="35" t="n">
        <f aca="false">SUMIF('Line Items'!$B$5:$B$110,$A37,'Line Items'!$K$5:$K$110)</f>
        <v>189</v>
      </c>
      <c r="D37" s="9" t="n">
        <f aca="false">SUMPRODUCT(('Line Items'!$B$5:$B$110=$A37)*'Line Items'!$F$5:$F$110*'Line Items'!$K$5:$K$110)</f>
        <v>57309</v>
      </c>
      <c r="E37" s="7" t="n">
        <v>57309</v>
      </c>
      <c r="F37" s="9" t="n">
        <f aca="false">SUMPRODUCT(('Line Items'!$B$5:$B$110=$A37)*'Line Items'!$J$5:$J$110*'Line Items'!$K$5:$K$110)</f>
        <v>37250.85</v>
      </c>
      <c r="G37" s="7" t="n">
        <v>37250.85</v>
      </c>
      <c r="H37" s="9" t="n">
        <f aca="false">SUMIF('Line Items'!$B$5:$B$110,$A37,'Line Items'!$N$5:$N$110)</f>
        <v>31568.52</v>
      </c>
    </row>
    <row r="38" customFormat="false" ht="15" hidden="false" customHeight="false" outlineLevel="0" collapsed="false">
      <c r="A38" s="5" t="s">
        <v>76</v>
      </c>
      <c r="B38" s="35" t="n">
        <f aca="false">COUNTIF('Line Items'!$B$5:$B$110,$A38)</f>
        <v>7</v>
      </c>
      <c r="C38" s="35" t="n">
        <f aca="false">SUMIF('Line Items'!$B$5:$B$110,$A38,'Line Items'!$K$5:$K$110)</f>
        <v>11</v>
      </c>
      <c r="D38" s="9" t="n">
        <f aca="false">SUMPRODUCT(('Line Items'!$B$5:$B$110=$A38)*'Line Items'!$F$5:$F$110*'Line Items'!$K$5:$K$110)</f>
        <v>10250</v>
      </c>
      <c r="E38" s="7" t="n">
        <v>10250</v>
      </c>
      <c r="F38" s="9" t="n">
        <f aca="false">SUMPRODUCT(('Line Items'!$B$5:$B$110=$A38)*'Line Items'!$J$5:$J$110*'Line Items'!$K$5:$K$110)</f>
        <v>7380</v>
      </c>
      <c r="G38" s="7" t="n">
        <v>7380</v>
      </c>
      <c r="H38" s="9" t="n">
        <f aca="false">SUMIF('Line Items'!$B$5:$B$110,$A38,'Line Items'!$N$5:$N$110)</f>
        <v>6254.24</v>
      </c>
    </row>
    <row r="39" customFormat="false" ht="15" hidden="false" customHeight="false" outlineLevel="0" collapsed="false">
      <c r="A39" s="5" t="s">
        <v>92</v>
      </c>
      <c r="B39" s="35" t="n">
        <f aca="false">COUNTIF('Line Items'!$B$5:$B$110,$A39)</f>
        <v>1</v>
      </c>
      <c r="C39" s="35" t="n">
        <f aca="false">SUMIF('Line Items'!$B$5:$B$110,$A39,'Line Items'!$K$5:$K$110)</f>
        <v>3</v>
      </c>
      <c r="D39" s="9" t="n">
        <f aca="false">SUMPRODUCT(('Line Items'!$B$5:$B$110=$A39)*'Line Items'!$F$5:$F$110*'Line Items'!$K$5:$K$110)</f>
        <v>2340</v>
      </c>
      <c r="E39" s="7" t="n">
        <v>2340</v>
      </c>
      <c r="F39" s="9" t="n">
        <f aca="false">SUMPRODUCT(('Line Items'!$B$5:$B$110=$A39)*'Line Items'!$J$5:$J$110*'Line Items'!$K$5:$K$110)</f>
        <v>2340</v>
      </c>
      <c r="G39" s="7" t="n">
        <v>2340</v>
      </c>
      <c r="H39" s="9" t="n">
        <f aca="false">SUMIF('Line Items'!$B$5:$B$110,$A39,'Line Items'!$N$5:$N$110)</f>
        <v>1983.05</v>
      </c>
    </row>
    <row r="40" customFormat="false" ht="15" hidden="false" customHeight="false" outlineLevel="0" collapsed="false">
      <c r="A40" s="5" t="s">
        <v>95</v>
      </c>
      <c r="B40" s="35" t="n">
        <f aca="false">COUNTIF('Line Items'!$B$5:$B$110,$A40)</f>
        <v>2</v>
      </c>
      <c r="C40" s="35" t="n">
        <f aca="false">SUMIF('Line Items'!$B$5:$B$110,$A40,'Line Items'!$K$5:$K$110)</f>
        <v>20</v>
      </c>
      <c r="D40" s="9" t="n">
        <f aca="false">SUMPRODUCT(('Line Items'!$B$5:$B$110=$A40)*'Line Items'!$F$5:$F$110*'Line Items'!$K$5:$K$110)</f>
        <v>1180</v>
      </c>
      <c r="E40" s="7" t="n">
        <v>1180</v>
      </c>
      <c r="F40" s="9" t="n">
        <f aca="false">SUMPRODUCT(('Line Items'!$B$5:$B$110=$A40)*'Line Items'!$J$5:$J$110*'Line Items'!$K$5:$K$110)</f>
        <v>672.6</v>
      </c>
      <c r="G40" s="7" t="n">
        <v>672.6</v>
      </c>
      <c r="H40" s="9" t="n">
        <f aca="false">SUMIF('Line Items'!$B$5:$B$110,$A40,'Line Items'!$N$5:$N$110)</f>
        <v>570</v>
      </c>
    </row>
    <row r="41" customFormat="false" ht="15" hidden="false" customHeight="false" outlineLevel="0" collapsed="false">
      <c r="A41" s="5" t="s">
        <v>100</v>
      </c>
      <c r="B41" s="35" t="n">
        <f aca="false">COUNTIF('Line Items'!$B$5:$B$110,$A41)</f>
        <v>2</v>
      </c>
      <c r="C41" s="35" t="n">
        <f aca="false">SUMIF('Line Items'!$B$5:$B$110,$A41,'Line Items'!$K$5:$K$110)</f>
        <v>7</v>
      </c>
      <c r="D41" s="9" t="n">
        <f aca="false">SUMPRODUCT(('Line Items'!$B$5:$B$110=$A41)*'Line Items'!$F$5:$F$110*'Line Items'!$K$5:$K$110)</f>
        <v>5010</v>
      </c>
      <c r="E41" s="7" t="n">
        <v>5010</v>
      </c>
      <c r="F41" s="9" t="n">
        <f aca="false">SUMPRODUCT(('Line Items'!$B$5:$B$110=$A41)*'Line Items'!$J$5:$J$110*'Line Items'!$K$5:$K$110)</f>
        <v>2855.7</v>
      </c>
      <c r="G41" s="7" t="n">
        <v>2855.7</v>
      </c>
      <c r="H41" s="9" t="n">
        <f aca="false">SUMIF('Line Items'!$B$5:$B$110,$A41,'Line Items'!$N$5:$N$110)</f>
        <v>2420.08</v>
      </c>
    </row>
    <row r="42" customFormat="false" ht="15" hidden="false" customHeight="false" outlineLevel="0" collapsed="false">
      <c r="A42" s="5" t="s">
        <v>105</v>
      </c>
      <c r="B42" s="35" t="n">
        <f aca="false">COUNTIF('Line Items'!$B$5:$B$110,$A42)</f>
        <v>4</v>
      </c>
      <c r="C42" s="35" t="n">
        <f aca="false">SUMIF('Line Items'!$B$5:$B$110,$A42,'Line Items'!$K$5:$K$110)</f>
        <v>25</v>
      </c>
      <c r="D42" s="9" t="n">
        <f aca="false">SUMPRODUCT(('Line Items'!$B$5:$B$110=$A42)*'Line Items'!$F$5:$F$110*'Line Items'!$K$5:$K$110)</f>
        <v>4020</v>
      </c>
      <c r="E42" s="7" t="n">
        <v>4020</v>
      </c>
      <c r="F42" s="9" t="n">
        <f aca="false">SUMPRODUCT(('Line Items'!$B$5:$B$110=$A42)*'Line Items'!$J$5:$J$110*'Line Items'!$K$5:$K$110)</f>
        <v>2412</v>
      </c>
      <c r="G42" s="7" t="n">
        <v>2412</v>
      </c>
      <c r="H42" s="9" t="n">
        <f aca="false">SUMIF('Line Items'!$B$5:$B$110,$A42,'Line Items'!$N$5:$N$110)</f>
        <v>2044.06</v>
      </c>
    </row>
    <row r="43" customFormat="false" ht="15" hidden="false" customHeight="false" outlineLevel="0" collapsed="false">
      <c r="A43" s="5" t="s">
        <v>115</v>
      </c>
      <c r="B43" s="35" t="n">
        <f aca="false">COUNTIF('Line Items'!$B$5:$B$110,$A43)</f>
        <v>1</v>
      </c>
      <c r="C43" s="35" t="n">
        <f aca="false">SUMIF('Line Items'!$B$5:$B$110,$A43,'Line Items'!$K$5:$K$110)</f>
        <v>40</v>
      </c>
      <c r="D43" s="9" t="n">
        <f aca="false">SUMPRODUCT(('Line Items'!$B$5:$B$110=$A43)*'Line Items'!$F$5:$F$110*'Line Items'!$K$5:$K$110)</f>
        <v>6400</v>
      </c>
      <c r="E43" s="7" t="n">
        <v>6400</v>
      </c>
      <c r="F43" s="9" t="n">
        <f aca="false">SUMPRODUCT(('Line Items'!$B$5:$B$110=$A43)*'Line Items'!$J$5:$J$110*'Line Items'!$K$5:$K$110)</f>
        <v>4608</v>
      </c>
      <c r="G43" s="7" t="n">
        <v>4608</v>
      </c>
      <c r="H43" s="9" t="n">
        <f aca="false">SUMIF('Line Items'!$B$5:$B$110,$A43,'Line Items'!$N$5:$N$110)</f>
        <v>3905.08</v>
      </c>
    </row>
    <row r="44" customFormat="false" ht="15" hidden="false" customHeight="false" outlineLevel="0" collapsed="false">
      <c r="A44" s="5" t="s">
        <v>118</v>
      </c>
      <c r="B44" s="35" t="n">
        <f aca="false">COUNTIF('Line Items'!$B$5:$B$110,$A44)</f>
        <v>3</v>
      </c>
      <c r="C44" s="35" t="n">
        <f aca="false">SUMIF('Line Items'!$B$5:$B$110,$A44,'Line Items'!$K$5:$K$110)</f>
        <v>22</v>
      </c>
      <c r="D44" s="9" t="n">
        <f aca="false">SUMPRODUCT(('Line Items'!$B$5:$B$110=$A44)*'Line Items'!$F$5:$F$110*'Line Items'!$K$5:$K$110)</f>
        <v>2053</v>
      </c>
      <c r="E44" s="7" t="n">
        <v>2053</v>
      </c>
      <c r="F44" s="9" t="n">
        <f aca="false">SUMPRODUCT(('Line Items'!$B$5:$B$110=$A44)*'Line Items'!$J$5:$J$110*'Line Items'!$K$5:$K$110)</f>
        <v>1231.8</v>
      </c>
      <c r="G44" s="7" t="n">
        <v>1231.8</v>
      </c>
      <c r="H44" s="9" t="n">
        <f aca="false">SUMIF('Line Items'!$B$5:$B$110,$A44,'Line Items'!$N$5:$N$110)</f>
        <v>1043.91</v>
      </c>
    </row>
    <row r="45" customFormat="false" ht="15" hidden="false" customHeight="false" outlineLevel="0" collapsed="false">
      <c r="A45" s="5" t="s">
        <v>126</v>
      </c>
      <c r="B45" s="35" t="n">
        <f aca="false">COUNTIF('Line Items'!$B$5:$B$110,$A45)</f>
        <v>31</v>
      </c>
      <c r="C45" s="35" t="n">
        <f aca="false">SUMIF('Line Items'!$B$5:$B$110,$A45,'Line Items'!$K$5:$K$110)</f>
        <v>159</v>
      </c>
      <c r="D45" s="9" t="n">
        <f aca="false">SUMPRODUCT(('Line Items'!$B$5:$B$110=$A45)*'Line Items'!$F$5:$F$110*'Line Items'!$K$5:$K$110)</f>
        <v>76760</v>
      </c>
      <c r="E45" s="7" t="n">
        <v>76760</v>
      </c>
      <c r="F45" s="9" t="n">
        <f aca="false">SUMPRODUCT(('Line Items'!$B$5:$B$110=$A45)*'Line Items'!$J$5:$J$110*'Line Items'!$K$5:$K$110)</f>
        <v>47591.2</v>
      </c>
      <c r="G45" s="7" t="n">
        <v>47591.2</v>
      </c>
      <c r="H45" s="9" t="n">
        <f aca="false">SUMIF('Line Items'!$B$5:$B$110,$A45,'Line Items'!$N$5:$N$110)</f>
        <v>40331.56</v>
      </c>
    </row>
    <row r="46" customFormat="false" ht="15" hidden="false" customHeight="false" outlineLevel="0" collapsed="false">
      <c r="A46" s="5" t="s">
        <v>190</v>
      </c>
      <c r="B46" s="35" t="n">
        <f aca="false">COUNTIF('Line Items'!$B$5:$B$110,$A46)</f>
        <v>1</v>
      </c>
      <c r="C46" s="35" t="n">
        <f aca="false">SUMIF('Line Items'!$B$5:$B$110,$A46,'Line Items'!$K$5:$K$110)</f>
        <v>5</v>
      </c>
      <c r="D46" s="9" t="n">
        <f aca="false">SUMPRODUCT(('Line Items'!$B$5:$B$110=$A46)*'Line Items'!$F$5:$F$110*'Line Items'!$K$5:$K$110)</f>
        <v>2130</v>
      </c>
      <c r="E46" s="7" t="n">
        <v>2130</v>
      </c>
      <c r="F46" s="9" t="n">
        <f aca="false">SUMPRODUCT(('Line Items'!$B$5:$B$110=$A46)*'Line Items'!$J$5:$J$110*'Line Items'!$K$5:$K$110)</f>
        <v>1278</v>
      </c>
      <c r="G46" s="7" t="n">
        <v>1278</v>
      </c>
      <c r="H46" s="9" t="n">
        <f aca="false">SUMIF('Line Items'!$B$5:$B$110,$A46,'Line Items'!$N$5:$N$110)</f>
        <v>1083.05</v>
      </c>
    </row>
    <row r="47" customFormat="false" ht="15" hidden="false" customHeight="false" outlineLevel="0" collapsed="false">
      <c r="A47" s="5" t="s">
        <v>193</v>
      </c>
      <c r="B47" s="35" t="n">
        <f aca="false">COUNTIF('Line Items'!$B$5:$B$110,$A47)</f>
        <v>2</v>
      </c>
      <c r="C47" s="35" t="n">
        <f aca="false">SUMIF('Line Items'!$B$5:$B$110,$A47,'Line Items'!$K$5:$K$110)</f>
        <v>50</v>
      </c>
      <c r="D47" s="9" t="n">
        <f aca="false">SUMPRODUCT(('Line Items'!$B$5:$B$110=$A47)*'Line Items'!$F$5:$F$110*'Line Items'!$K$5:$K$110)</f>
        <v>2240</v>
      </c>
      <c r="E47" s="7" t="n">
        <v>2240</v>
      </c>
      <c r="F47" s="9" t="n">
        <f aca="false">SUMPRODUCT(('Line Items'!$B$5:$B$110=$A47)*'Line Items'!$J$5:$J$110*'Line Items'!$K$5:$K$110)</f>
        <v>1612.8</v>
      </c>
      <c r="G47" s="7" t="n">
        <v>1612.8</v>
      </c>
      <c r="H47" s="9" t="n">
        <f aca="false">SUMIF('Line Items'!$B$5:$B$110,$A47,'Line Items'!$N$5:$N$110)</f>
        <v>1366.78</v>
      </c>
    </row>
    <row r="48" customFormat="false" ht="15" hidden="false" customHeight="false" outlineLevel="0" collapsed="false">
      <c r="A48" s="5" t="s">
        <v>198</v>
      </c>
      <c r="B48" s="35" t="n">
        <f aca="false">COUNTIF('Line Items'!$B$5:$B$110,$A48)</f>
        <v>4</v>
      </c>
      <c r="C48" s="35" t="n">
        <f aca="false">SUMIF('Line Items'!$B$5:$B$110,$A48,'Line Items'!$K$5:$K$110)</f>
        <v>107</v>
      </c>
      <c r="D48" s="9" t="n">
        <f aca="false">SUMPRODUCT(('Line Items'!$B$5:$B$110=$A48)*'Line Items'!$F$5:$F$110*'Line Items'!$K$5:$K$110)</f>
        <v>14098</v>
      </c>
      <c r="E48" s="7" t="n">
        <v>14098</v>
      </c>
      <c r="F48" s="9" t="n">
        <f aca="false">SUMPRODUCT(('Line Items'!$B$5:$B$110=$A48)*'Line Items'!$J$5:$J$110*'Line Items'!$K$5:$K$110)</f>
        <v>8180.84</v>
      </c>
      <c r="G48" s="7" t="n">
        <v>8180.84</v>
      </c>
      <c r="H48" s="9" t="n">
        <f aca="false">SUMIF('Line Items'!$B$5:$B$110,$A48,'Line Items'!$N$5:$N$110)</f>
        <v>6932.91</v>
      </c>
    </row>
    <row r="49" customFormat="false" ht="15" hidden="false" customHeight="false" outlineLevel="0" collapsed="false">
      <c r="A49" s="5" t="s">
        <v>208</v>
      </c>
      <c r="B49" s="35" t="n">
        <f aca="false">COUNTIF('Line Items'!$B$5:$B$110,$A49)</f>
        <v>1</v>
      </c>
      <c r="C49" s="35" t="n">
        <f aca="false">SUMIF('Line Items'!$B$5:$B$110,$A49,'Line Items'!$K$5:$K$110)</f>
        <v>15</v>
      </c>
      <c r="D49" s="9" t="n">
        <f aca="false">SUMPRODUCT(('Line Items'!$B$5:$B$110=$A49)*'Line Items'!$F$5:$F$110*'Line Items'!$K$5:$K$110)</f>
        <v>3600</v>
      </c>
      <c r="E49" s="7" t="n">
        <v>3600</v>
      </c>
      <c r="F49" s="9" t="n">
        <f aca="false">SUMPRODUCT(('Line Items'!$B$5:$B$110=$A49)*'Line Items'!$J$5:$J$110*'Line Items'!$K$5:$K$110)</f>
        <v>3600</v>
      </c>
      <c r="G49" s="7" t="n">
        <v>3600</v>
      </c>
      <c r="H49" s="9" t="n">
        <f aca="false">SUMIF('Line Items'!$B$5:$B$110,$A49,'Line Items'!$N$5:$N$110)</f>
        <v>3050.85</v>
      </c>
    </row>
    <row r="50" customFormat="false" ht="15" hidden="false" customHeight="false" outlineLevel="0" collapsed="false">
      <c r="A50" s="5" t="s">
        <v>211</v>
      </c>
      <c r="B50" s="35" t="n">
        <f aca="false">COUNTIF('Line Items'!$B$5:$B$110,$A50)</f>
        <v>8</v>
      </c>
      <c r="C50" s="35" t="n">
        <f aca="false">SUMIF('Line Items'!$B$5:$B$110,$A50,'Line Items'!$K$5:$K$110)</f>
        <v>382</v>
      </c>
      <c r="D50" s="9" t="n">
        <f aca="false">SUMPRODUCT(('Line Items'!$B$5:$B$110=$A50)*'Line Items'!$F$5:$F$110*'Line Items'!$K$5:$K$110)</f>
        <v>4202.5</v>
      </c>
      <c r="E50" s="7" t="n">
        <v>4202.5</v>
      </c>
      <c r="F50" s="9" t="n">
        <f aca="false">SUMPRODUCT(('Line Items'!$B$5:$B$110=$A50)*'Line Items'!$J$5:$J$110*'Line Items'!$K$5:$K$110)</f>
        <v>2435.975</v>
      </c>
      <c r="G50" s="7" t="n">
        <v>2435.97</v>
      </c>
      <c r="H50" s="9" t="n">
        <f aca="false">SUMIF('Line Items'!$B$5:$B$110,$A50,'Line Items'!$N$5:$N$110)</f>
        <v>2064.39</v>
      </c>
    </row>
    <row r="51" customFormat="false" ht="15" hidden="false" customHeight="false" outlineLevel="0" collapsed="false">
      <c r="A51" s="5" t="s">
        <v>228</v>
      </c>
      <c r="B51" s="35" t="n">
        <f aca="false">COUNTIF('Line Items'!$B$5:$B$110,$A51)</f>
        <v>6</v>
      </c>
      <c r="C51" s="35" t="n">
        <f aca="false">SUMIF('Line Items'!$B$5:$B$110,$A51,'Line Items'!$K$5:$K$110)</f>
        <v>370</v>
      </c>
      <c r="D51" s="9" t="n">
        <f aca="false">SUMPRODUCT(('Line Items'!$B$5:$B$110=$A51)*'Line Items'!$F$5:$F$110*'Line Items'!$K$5:$K$110)</f>
        <v>1127</v>
      </c>
      <c r="E51" s="7" t="n">
        <v>1127</v>
      </c>
      <c r="F51" s="9" t="n">
        <f aca="false">SUMPRODUCT(('Line Items'!$B$5:$B$110=$A51)*'Line Items'!$J$5:$J$110*'Line Items'!$K$5:$K$110)</f>
        <v>676.2</v>
      </c>
      <c r="G51" s="7" t="n">
        <v>676.2</v>
      </c>
      <c r="H51" s="9" t="n">
        <f aca="false">SUMIF('Line Items'!$B$5:$B$110,$A51,'Line Items'!$N$5:$N$110)</f>
        <v>573.05</v>
      </c>
    </row>
    <row r="52" customFormat="false" ht="15" hidden="false" customHeight="false" outlineLevel="0" collapsed="false">
      <c r="A52" s="5" t="s">
        <v>242</v>
      </c>
      <c r="B52" s="35" t="n">
        <f aca="false">COUNTIF('Line Items'!$B$5:$B$110,$A52)</f>
        <v>1</v>
      </c>
      <c r="C52" s="35" t="n">
        <f aca="false">SUMIF('Line Items'!$B$5:$B$110,$A52,'Line Items'!$K$5:$K$110)</f>
        <v>5</v>
      </c>
      <c r="D52" s="9" t="n">
        <f aca="false">SUMPRODUCT(('Line Items'!$B$5:$B$110=$A52)*'Line Items'!$F$5:$F$110*'Line Items'!$K$5:$K$110)</f>
        <v>1870</v>
      </c>
      <c r="E52" s="7" t="n">
        <v>1870</v>
      </c>
      <c r="F52" s="9" t="n">
        <f aca="false">SUMPRODUCT(('Line Items'!$B$5:$B$110=$A52)*'Line Items'!$J$5:$J$110*'Line Items'!$K$5:$K$110)</f>
        <v>1028.5</v>
      </c>
      <c r="G52" s="7" t="n">
        <v>1028.5</v>
      </c>
      <c r="H52" s="9" t="n">
        <f aca="false">SUMIF('Line Items'!$B$5:$B$110,$A52,'Line Items'!$N$5:$N$110)</f>
        <v>871.61</v>
      </c>
    </row>
    <row r="53" customFormat="false" ht="15" hidden="false" customHeight="false" outlineLevel="0" collapsed="false">
      <c r="A53" s="5" t="s">
        <v>246</v>
      </c>
      <c r="B53" s="35" t="n">
        <f aca="false">COUNTIF('Line Items'!$B$5:$B$110,$A53)</f>
        <v>2</v>
      </c>
      <c r="C53" s="35" t="n">
        <f aca="false">SUMIF('Line Items'!$B$5:$B$110,$A53,'Line Items'!$K$5:$K$110)</f>
        <v>10</v>
      </c>
      <c r="D53" s="9" t="n">
        <f aca="false">SUMPRODUCT(('Line Items'!$B$5:$B$110=$A53)*'Line Items'!$F$5:$F$110*'Line Items'!$K$5:$K$110)</f>
        <v>3600</v>
      </c>
      <c r="E53" s="7" t="n">
        <v>3600</v>
      </c>
      <c r="F53" s="9" t="n">
        <f aca="false">SUMPRODUCT(('Line Items'!$B$5:$B$110=$A53)*'Line Items'!$J$5:$J$110*'Line Items'!$K$5:$K$110)</f>
        <v>2160</v>
      </c>
      <c r="G53" s="7" t="n">
        <v>2160</v>
      </c>
      <c r="H53" s="9" t="n">
        <f aca="false">SUMIF('Line Items'!$B$5:$B$110,$A53,'Line Items'!$N$5:$N$110)</f>
        <v>1830.5</v>
      </c>
    </row>
    <row r="54" customFormat="false" ht="15" hidden="false" customHeight="false" outlineLevel="0" collapsed="false">
      <c r="A54" s="5" t="s">
        <v>252</v>
      </c>
      <c r="B54" s="35" t="n">
        <f aca="false">COUNTIF('Line Items'!$B$5:$B$110,$A54)</f>
        <v>6</v>
      </c>
      <c r="C54" s="35" t="n">
        <f aca="false">SUMIF('Line Items'!$B$5:$B$110,$A54,'Line Items'!$K$5:$K$110)</f>
        <v>50</v>
      </c>
      <c r="D54" s="9" t="n">
        <f aca="false">SUMPRODUCT(('Line Items'!$B$5:$B$110=$A54)*'Line Items'!$F$5:$F$110*'Line Items'!$K$5:$K$110)</f>
        <v>3359</v>
      </c>
      <c r="E54" s="7" t="n">
        <v>3359</v>
      </c>
      <c r="F54" s="9" t="n">
        <f aca="false">SUMPRODUCT(('Line Items'!$B$5:$B$110=$A54)*'Line Items'!$J$5:$J$110*'Line Items'!$K$5:$K$110)</f>
        <v>2418.48</v>
      </c>
      <c r="G54" s="7" t="n">
        <v>2418.48</v>
      </c>
      <c r="H54" s="9" t="n">
        <f aca="false">SUMIF('Line Items'!$B$5:$B$110,$A54,'Line Items'!$N$5:$N$110)</f>
        <v>2049.55</v>
      </c>
    </row>
    <row r="55" customFormat="false" ht="15" hidden="false" customHeight="false" outlineLevel="0" collapsed="false">
      <c r="A55" s="5" t="s">
        <v>266</v>
      </c>
      <c r="B55" s="35" t="n">
        <f aca="false">COUNTIF('Line Items'!$B$5:$B$110,$A55)</f>
        <v>1</v>
      </c>
      <c r="C55" s="35" t="n">
        <f aca="false">SUMIF('Line Items'!$B$5:$B$110,$A55,'Line Items'!$K$5:$K$110)</f>
        <v>1</v>
      </c>
      <c r="D55" s="9" t="n">
        <f aca="false">SUMPRODUCT(('Line Items'!$B$5:$B$110=$A55)*'Line Items'!$F$5:$F$110*'Line Items'!$K$5:$K$110)</f>
        <v>308</v>
      </c>
      <c r="E55" s="7" t="n">
        <v>308</v>
      </c>
      <c r="F55" s="9" t="n">
        <f aca="false">SUMPRODUCT(('Line Items'!$B$5:$B$110=$A55)*'Line Items'!$J$5:$J$110*'Line Items'!$K$5:$K$110)</f>
        <v>184.8</v>
      </c>
      <c r="G55" s="7" t="n">
        <v>184.8</v>
      </c>
      <c r="H55" s="9" t="n">
        <f aca="false">SUMIF('Line Items'!$B$5:$B$110,$A55,'Line Items'!$N$5:$N$110)</f>
        <v>156.61</v>
      </c>
    </row>
    <row r="56" customFormat="false" ht="15" hidden="false" customHeight="false" outlineLevel="0" collapsed="false">
      <c r="A56" s="18" t="s">
        <v>269</v>
      </c>
      <c r="B56" s="20" t="n">
        <f aca="false">SUM(B32:B55)</f>
        <v>106</v>
      </c>
      <c r="C56" s="20" t="n">
        <f aca="false">SUM(C32:C55)</f>
        <v>1800</v>
      </c>
      <c r="D56" s="21" t="n">
        <f aca="false">SUM(D32:D55)</f>
        <v>234253.5</v>
      </c>
      <c r="E56" s="21" t="n">
        <f aca="false">SUM(E32:E55)</f>
        <v>234253.5</v>
      </c>
      <c r="F56" s="21" t="n">
        <f aca="false">SUM(F32:F55)</f>
        <v>148768.795</v>
      </c>
      <c r="G56" s="21" t="n">
        <f aca="false">SUM(G32:G55)</f>
        <v>148768.79</v>
      </c>
      <c r="H56" s="21" t="n">
        <f aca="false">SUM(H32:H55)</f>
        <v>126075.27</v>
      </c>
    </row>
    <row r="58" customFormat="false" ht="25.5" hidden="false" customHeight="true" outlineLevel="0" collapsed="false">
      <c r="A58" s="23" t="s">
        <v>330</v>
      </c>
      <c r="B58" s="23"/>
      <c r="C58" s="23"/>
      <c r="D58" s="23"/>
      <c r="E58" s="23"/>
      <c r="F58" s="23"/>
      <c r="G58" s="23"/>
      <c r="H58" s="23"/>
    </row>
    <row r="59" customFormat="false" ht="25.5" hidden="false" customHeight="true" outlineLevel="0" collapsed="false">
      <c r="A59" s="23" t="s">
        <v>331</v>
      </c>
      <c r="B59" s="23"/>
      <c r="C59" s="23"/>
      <c r="D59" s="23"/>
      <c r="E59" s="23"/>
      <c r="F59" s="23"/>
      <c r="G59" s="23"/>
      <c r="H59" s="23"/>
    </row>
    <row r="60" customFormat="false" ht="25.5" hidden="false" customHeight="true" outlineLevel="0" collapsed="false">
      <c r="A60" s="23" t="s">
        <v>332</v>
      </c>
      <c r="B60" s="23"/>
      <c r="C60" s="23"/>
      <c r="D60" s="23"/>
      <c r="E60" s="23"/>
      <c r="F60" s="23"/>
      <c r="G60" s="23"/>
      <c r="H60" s="23"/>
    </row>
  </sheetData>
  <mergeCells count="17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58:H58"/>
    <mergeCell ref="A59:H59"/>
    <mergeCell ref="A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2026-08-31T17:31:08Z</dcterms:created>
  <dc:creator>openpyxl</dc:creator>
  <dc:description/>
  <dc:language>en-US</dc:language>
  <cp:lastModifiedBy/>
  <dcterms:modified xsi:type="dcterms:W3CDTF">2026-08-31T17:31:08Z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