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ne Items" sheetId="1" state="visible" r:id="rId3"/>
    <sheet name="Reconciliation" sheetId="2" state="visible" r:id="rId4"/>
    <sheet name="Invoice Summary" sheetId="3" state="visible" r:id="rId5"/>
    <sheet name="HSN Summary" sheetId="4" state="visible" r:id="rId6"/>
  </sheets>
  <definedNames>
    <definedName function="false" hidden="true" localSheetId="0" name="_xlnm._FilterDatabase" vbProcedure="false">'Line Items'!$A$1:$R$143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<sst xmlns="http://schemas.openxmlformats.org/spreadsheetml/2006/main" count="858" uniqueCount="418">
  <si>
    <t xml:space="preserve">S.No</t>
  </si>
  <si>
    <t xml:space="preserve">Item Code</t>
  </si>
  <si>
    <t xml:space="preserve">Description</t>
  </si>
  <si>
    <t xml:space="preserve">HSN</t>
  </si>
  <si>
    <t xml:space="preserve">Qty</t>
  </si>
  <si>
    <t xml:space="preserve">UOM</t>
  </si>
  <si>
    <t xml:space="preserve">Rate</t>
  </si>
  <si>
    <t xml:space="preserve">Amount (taxable)</t>
  </si>
  <si>
    <t xml:space="preserve">SGST %</t>
  </si>
  <si>
    <t xml:space="preserve">SGST Value</t>
  </si>
  <si>
    <t xml:space="preserve">CGST %</t>
  </si>
  <si>
    <t xml:space="preserve">CGST Value</t>
  </si>
  <si>
    <t xml:space="preserve">Line Total</t>
  </si>
  <si>
    <t xml:space="preserve">Gross (Rate x Qty)</t>
  </si>
  <si>
    <t xml:space="preserve">Check Amount (Gross x 85% / 1.18)</t>
  </si>
  <si>
    <t xml:space="preserve">Diff</t>
  </si>
  <si>
    <t xml:space="preserve">Page</t>
  </si>
  <si>
    <t xml:space="preserve">Verification</t>
  </si>
  <si>
    <t xml:space="preserve">Cost per unit (excl. GST)</t>
  </si>
  <si>
    <t xml:space="preserve">50610K0ND00</t>
  </si>
  <si>
    <t xml:space="preserve">BAR COMPSTEP</t>
  </si>
  <si>
    <t xml:space="preserve">87141090</t>
  </si>
  <si>
    <t xml:space="preserve">PCS</t>
  </si>
  <si>
    <t xml:space="preserve">Confirmed vs image</t>
  </si>
  <si>
    <t xml:space="preserve">50610KTED00</t>
  </si>
  <si>
    <t xml:space="preserve">50610KTED20</t>
  </si>
  <si>
    <t xml:space="preserve">50610K0ND20</t>
  </si>
  <si>
    <t xml:space="preserve">BAR COMPSTEP-</t>
  </si>
  <si>
    <t xml:space="preserve">33703K0VB01</t>
  </si>
  <si>
    <t xml:space="preserve">COMPTAIL LIGHT.</t>
  </si>
  <si>
    <t xml:space="preserve">33120K0VB01</t>
  </si>
  <si>
    <t xml:space="preserve">HEAD LIGHT UNIT SHINE BS6</t>
  </si>
  <si>
    <t xml:space="preserve">85122010</t>
  </si>
  <si>
    <t xml:space="preserve">37100KTE601</t>
  </si>
  <si>
    <t xml:space="preserve">METER ASSY CB SHINE</t>
  </si>
  <si>
    <t xml:space="preserve">37100KTE651</t>
  </si>
  <si>
    <t xml:space="preserve">METER ASSY SHINE DX</t>
  </si>
  <si>
    <t xml:space="preserve">37100KTE911</t>
  </si>
  <si>
    <t xml:space="preserve">METER ASSY SHINE O/M</t>
  </si>
  <si>
    <t xml:space="preserve">52400KTE651</t>
  </si>
  <si>
    <t xml:space="preserve">RR CUSHION</t>
  </si>
  <si>
    <t xml:space="preserve">37100KTED81</t>
  </si>
  <si>
    <t xml:space="preserve">SPEEDOMETER ASSY</t>
  </si>
  <si>
    <t xml:space="preserve">52200KTE650</t>
  </si>
  <si>
    <t xml:space="preserve">SUSPENSION SHINE DX</t>
  </si>
  <si>
    <t xml:space="preserve">33701KTE600</t>
  </si>
  <si>
    <t xml:space="preserve">TAIL LIGHT UNIT SHINE N/M</t>
  </si>
  <si>
    <t xml:space="preserve">33701KTE910</t>
  </si>
  <si>
    <t xml:space="preserve">TAIL LIGHT UNIT SHINE O/M</t>
  </si>
  <si>
    <t xml:space="preserve">33703KTE910</t>
  </si>
  <si>
    <t xml:space="preserve">TAIL LIGHT LENS SHINE</t>
  </si>
  <si>
    <t xml:space="preserve">37800K0VA01</t>
  </si>
  <si>
    <t xml:space="preserve">TANK FUEL UNIT SHINE BS6</t>
  </si>
  <si>
    <t xml:space="preserve">90261020</t>
  </si>
  <si>
    <t xml:space="preserve">37800KTE651</t>
  </si>
  <si>
    <t xml:space="preserve">TANK FUEL UNIT SHINE DX</t>
  </si>
  <si>
    <t xml:space="preserve">90292020</t>
  </si>
  <si>
    <t xml:space="preserve">37800K0VBG1</t>
  </si>
  <si>
    <t xml:space="preserve">UNIT ASSYFUEL****</t>
  </si>
  <si>
    <t xml:space="preserve">33110KTE741</t>
  </si>
  <si>
    <t xml:space="preserve">UNIT HEAD LIGHT</t>
  </si>
  <si>
    <t xml:space="preserve">33120KTED11</t>
  </si>
  <si>
    <t xml:space="preserve">UNITHEAD LIGHT</t>
  </si>
  <si>
    <t xml:space="preserve">01471KTE910</t>
  </si>
  <si>
    <t xml:space="preserve">VALVE SET SHINE</t>
  </si>
  <si>
    <t xml:space="preserve">0222BKTE910</t>
  </si>
  <si>
    <t xml:space="preserve">CLUTCH PLATE SHINE</t>
  </si>
  <si>
    <t xml:space="preserve">22120KTE910</t>
  </si>
  <si>
    <t xml:space="preserve">CLUTCH HUB SHINE</t>
  </si>
  <si>
    <t xml:space="preserve">22355KTE910</t>
  </si>
  <si>
    <t xml:space="preserve">PLATECLUTCH PRESSURE</t>
  </si>
  <si>
    <t xml:space="preserve">35150KTE600</t>
  </si>
  <si>
    <t xml:space="preserve">SWITCH ASSY RH SP,SHINE</t>
  </si>
  <si>
    <t xml:space="preserve">85369030</t>
  </si>
  <si>
    <t xml:space="preserve">22321KTE652</t>
  </si>
  <si>
    <t xml:space="preserve">CLUTCH STEEL PLATE SHINE [3]</t>
  </si>
  <si>
    <t xml:space="preserve">35200KTE741</t>
  </si>
  <si>
    <t xml:space="preserve">SWITCH ASSY LH SHINE N/M SELF</t>
  </si>
  <si>
    <t xml:space="preserve">12391K0ND01</t>
  </si>
  <si>
    <t xml:space="preserve">HEAD BEDING KOV,K3C.</t>
  </si>
  <si>
    <t xml:space="preserve">35010K0VA01</t>
  </si>
  <si>
    <t xml:space="preserve">KEY SET SHINE BS6* {4PIN}</t>
  </si>
  <si>
    <t xml:space="preserve">83012000</t>
  </si>
  <si>
    <t xml:space="preserve">61102KTE910</t>
  </si>
  <si>
    <t xml:space="preserve">MUDGUARD STAY FR SHINE</t>
  </si>
  <si>
    <t xml:space="preserve">06410K67900</t>
  </si>
  <si>
    <t xml:space="preserve">DAMPER SET WHEEL</t>
  </si>
  <si>
    <t xml:space="preserve">40169990</t>
  </si>
  <si>
    <t xml:space="preserve">35200KTED01</t>
  </si>
  <si>
    <t xml:space="preserve">SW ASSYWINKER</t>
  </si>
  <si>
    <t xml:space="preserve">01443KSP860</t>
  </si>
  <si>
    <t xml:space="preserve">ROCKER SET UNICORN</t>
  </si>
  <si>
    <t xml:space="preserve">17220K0ND00</t>
  </si>
  <si>
    <t xml:space="preserve">AIR FILTER SHINE BS6,K1C</t>
  </si>
  <si>
    <t xml:space="preserve">84219900</t>
  </si>
  <si>
    <t xml:space="preserve">17245KTE651</t>
  </si>
  <si>
    <t xml:space="preserve">AIR FILTER BOX COVER SHINE DX</t>
  </si>
  <si>
    <t xml:space="preserve">84213990</t>
  </si>
  <si>
    <t xml:space="preserve">32100KTE740</t>
  </si>
  <si>
    <t xml:space="preserve">WIRING KIT SHINE N/M</t>
  </si>
  <si>
    <t xml:space="preserve">85443000</t>
  </si>
  <si>
    <t xml:space="preserve">32100KTE650</t>
  </si>
  <si>
    <t xml:space="preserve">WIRING KIT SHINE DX</t>
  </si>
  <si>
    <t xml:space="preserve">45510KVT911</t>
  </si>
  <si>
    <t xml:space="preserve">M/C SUBASSY FR BRK</t>
  </si>
  <si>
    <t xml:space="preserve">53140KWF950</t>
  </si>
  <si>
    <t xml:space="preserve">GRIP COMPTHROT.</t>
  </si>
  <si>
    <t xml:space="preserve">06451GE2405</t>
  </si>
  <si>
    <t xml:space="preserve">DISC ORING K21,k24,KTE,K43</t>
  </si>
  <si>
    <t xml:space="preserve">06439MAK003</t>
  </si>
  <si>
    <t xml:space="preserve">DISC BOOT UNC</t>
  </si>
  <si>
    <t xml:space="preserve">17910K0VB01</t>
  </si>
  <si>
    <t xml:space="preserve">CABLE COMP ATHROT</t>
  </si>
  <si>
    <t xml:space="preserve">87149990</t>
  </si>
  <si>
    <t xml:space="preserve">53178K0NDU0</t>
  </si>
  <si>
    <t xml:space="preserve">LEVER COMPL HANDLE</t>
  </si>
  <si>
    <t xml:space="preserve">45530KCC841</t>
  </si>
  <si>
    <t xml:space="preserve">M/C KIT UNICORN PVC</t>
  </si>
  <si>
    <t xml:space="preserve">53175KTEA00</t>
  </si>
  <si>
    <t xml:space="preserve">LEVER COMPR HANDLE</t>
  </si>
  <si>
    <t xml:space="preserve">53178KTEA00</t>
  </si>
  <si>
    <t xml:space="preserve">LEVER COMPONENT L HANDLE</t>
  </si>
  <si>
    <t xml:space="preserve">22870K0ND01</t>
  </si>
  <si>
    <t xml:space="preserve">CABLE CLUTCH BS6 SHINE/K1C</t>
  </si>
  <si>
    <t xml:space="preserve">17219KTE910</t>
  </si>
  <si>
    <t xml:space="preserve">AIR DUCT SP,SHINE,DX,</t>
  </si>
  <si>
    <t xml:space="preserve">16707K0YD01</t>
  </si>
  <si>
    <t xml:space="preserve">FILTER SET K1K,K0V,K3C</t>
  </si>
  <si>
    <t xml:space="preserve">84099990</t>
  </si>
  <si>
    <t xml:space="preserve">17920K0VB01</t>
  </si>
  <si>
    <t xml:space="preserve">CABLE COMP BTHROT.</t>
  </si>
  <si>
    <t xml:space="preserve">14520KTED81</t>
  </si>
  <si>
    <t xml:space="preserve">TENSIONER SHINE BS4</t>
  </si>
  <si>
    <t xml:space="preserve">17950KTE910</t>
  </si>
  <si>
    <t xml:space="preserve">CABLE CHOKE SHINE (</t>
  </si>
  <si>
    <t xml:space="preserve">35010K0VBL0</t>
  </si>
  <si>
    <t xml:space="preserve">KEY SET SHINE BS6{2PIN}</t>
  </si>
  <si>
    <t xml:space="preserve">17910KTE601</t>
  </si>
  <si>
    <t xml:space="preserve">CABLE ACC SHINE</t>
  </si>
  <si>
    <t xml:space="preserve">35010KTED01</t>
  </si>
  <si>
    <t xml:space="preserve">KEY SET</t>
  </si>
  <si>
    <t xml:space="preserve">43450K0N611</t>
  </si>
  <si>
    <t xml:space="preserve">CABLE COMPCBS BRK LH</t>
  </si>
  <si>
    <t xml:space="preserve">35200K0VA01</t>
  </si>
  <si>
    <t xml:space="preserve">SW ASSYWINKER.K1C</t>
  </si>
  <si>
    <t xml:space="preserve">44830KTED12</t>
  </si>
  <si>
    <t xml:space="preserve">CABLE S.M SHINE</t>
  </si>
  <si>
    <t xml:space="preserve">45450KTE910</t>
  </si>
  <si>
    <t xml:space="preserve">CABLE COMPFR BRK</t>
  </si>
  <si>
    <t xml:space="preserve">17211KTE651</t>
  </si>
  <si>
    <t xml:space="preserve">AIR FILTER SHINE,K67.GREEN</t>
  </si>
  <si>
    <t xml:space="preserve">22870KTED01</t>
  </si>
  <si>
    <t xml:space="preserve">CABLE CLUTCH SHINE</t>
  </si>
  <si>
    <t xml:space="preserve">45450K0VB31</t>
  </si>
  <si>
    <t xml:space="preserve">FRONT RH CABLE B/S6 SHAINE</t>
  </si>
  <si>
    <t xml:space="preserve">17211KTE910</t>
  </si>
  <si>
    <t xml:space="preserve">AIR FILTER SHINE YELLOW</t>
  </si>
  <si>
    <t xml:space="preserve">22870K0VBG1</t>
  </si>
  <si>
    <t xml:space="preserve">CABLE COMPCLUTCH*</t>
  </si>
  <si>
    <t xml:space="preserve">33462KTE920</t>
  </si>
  <si>
    <t xml:space="preserve">LENSR.WINKER</t>
  </si>
  <si>
    <t xml:space="preserve">85129000</t>
  </si>
  <si>
    <t xml:space="preserve">31200KTED01</t>
  </si>
  <si>
    <t xml:space="preserve">SELF MOTOR ASSY SHINE</t>
  </si>
  <si>
    <t xml:space="preserve">85119000</t>
  </si>
  <si>
    <t xml:space="preserve">22100KTED01</t>
  </si>
  <si>
    <t xml:space="preserve">OUTER COMPCLUTCH</t>
  </si>
  <si>
    <t xml:space="preserve">37310K0VA01</t>
  </si>
  <si>
    <t xml:space="preserve">METER GLASS SHINE BS6</t>
  </si>
  <si>
    <t xml:space="preserve">50702KTE910</t>
  </si>
  <si>
    <t xml:space="preserve">FOOT REST BRKT LH SHINE</t>
  </si>
  <si>
    <t xml:space="preserve">50701KTE910</t>
  </si>
  <si>
    <t xml:space="preserve">BRKTCOMP R P.STEP</t>
  </si>
  <si>
    <t xml:space="preserve">46500K0ND10</t>
  </si>
  <si>
    <t xml:space="preserve">BRAKE PEDAL SP125,K1C,K63 BS6</t>
  </si>
  <si>
    <t xml:space="preserve">35200KTE651</t>
  </si>
  <si>
    <t xml:space="preserve">SWITCH ASSY LH SHINE DX</t>
  </si>
  <si>
    <t xml:space="preserve">45250KCC841</t>
  </si>
  <si>
    <t xml:space="preserve">CALIPER ASSY FR UNC BLACK</t>
  </si>
  <si>
    <t xml:space="preserve">45510K0ND01</t>
  </si>
  <si>
    <t xml:space="preserve">M/C ASSY SHINE BS6</t>
  </si>
  <si>
    <t xml:space="preserve">35130K0VA11</t>
  </si>
  <si>
    <t xml:space="preserve">SW ASSYST ENG STOP[4PINS] DRUM</t>
  </si>
  <si>
    <t xml:space="preserve">24701KTE910</t>
  </si>
  <si>
    <t xml:space="preserve">GEAR ROD SHINE,DX.K67</t>
  </si>
  <si>
    <t xml:space="preserve">46500KTE910</t>
  </si>
  <si>
    <t xml:space="preserve">PEDALBRAKE *</t>
  </si>
  <si>
    <t xml:space="preserve">61311KTE910</t>
  </si>
  <si>
    <t xml:space="preserve">HL STAY SHINE O/M</t>
  </si>
  <si>
    <t xml:space="preserve">31120KTED01</t>
  </si>
  <si>
    <t xml:space="preserve">COIL PLATE SHINE BS4</t>
  </si>
  <si>
    <t xml:space="preserve">85114000</t>
  </si>
  <si>
    <t xml:space="preserve">01451KTE600</t>
  </si>
  <si>
    <t xml:space="preserve">TIMING PAD SET KIT - SHINE</t>
  </si>
  <si>
    <t xml:space="preserve">35130K0VAC2</t>
  </si>
  <si>
    <t xml:space="preserve">*SW ASSYST ENG STOP.K1C 6PIN</t>
  </si>
  <si>
    <t xml:space="preserve">31120KTE621</t>
  </si>
  <si>
    <t xml:space="preserve">COIL PLATE ASSY CB SHINE</t>
  </si>
  <si>
    <t xml:space="preserve">31120KTE651</t>
  </si>
  <si>
    <t xml:space="preserve">COIL PLATE ASSY SHINE DX</t>
  </si>
  <si>
    <t xml:space="preserve">51401KTE652</t>
  </si>
  <si>
    <t xml:space="preserve">FORK SPRING SHINE DX</t>
  </si>
  <si>
    <t xml:space="preserve">31200K0ED01</t>
  </si>
  <si>
    <t xml:space="preserve">SELF MOTOR ASSY XBLADE,K1K</t>
  </si>
  <si>
    <t xml:space="preserve">51401KTE913</t>
  </si>
  <si>
    <t xml:space="preserve">FORK SPRING SHINE</t>
  </si>
  <si>
    <t xml:space="preserve">46500KTE670</t>
  </si>
  <si>
    <t xml:space="preserve">BRAKE PEDAL SHINE,K67</t>
  </si>
  <si>
    <t xml:space="preserve">51410KTEA01</t>
  </si>
  <si>
    <t xml:space="preserve">FORK PIPE SHINE.</t>
  </si>
  <si>
    <t xml:space="preserve">50610KTE910</t>
  </si>
  <si>
    <t xml:space="preserve">FOOT REST ROD SHINE</t>
  </si>
  <si>
    <t xml:space="preserve">50610KTE650</t>
  </si>
  <si>
    <t xml:space="preserve">35130K0VA01</t>
  </si>
  <si>
    <t xml:space="preserve">SW ASSYST ENG STOP{6PINS} DISC</t>
  </si>
  <si>
    <t xml:space="preserve">17235KTE650</t>
  </si>
  <si>
    <t xml:space="preserve">HOLDER SUB ASSYAIR/C</t>
  </si>
  <si>
    <t xml:space="preserve">14401KTE910</t>
  </si>
  <si>
    <t xml:space="preserve">CAM CHAIN SHINE</t>
  </si>
  <si>
    <t xml:space="preserve">73151100</t>
  </si>
  <si>
    <t xml:space="preserve">50530KTE910</t>
  </si>
  <si>
    <t xml:space="preserve">BARCOMP.SIDESTAND</t>
  </si>
  <si>
    <t xml:space="preserve">01210KTEA02</t>
  </si>
  <si>
    <t xml:space="preserve">BORE KIT SHINE BLACK</t>
  </si>
  <si>
    <t xml:space="preserve">52400K67901</t>
  </si>
  <si>
    <t xml:space="preserve">SHOCKER RR SP,SHINE RED</t>
  </si>
  <si>
    <t xml:space="preserve">02212K0NA00</t>
  </si>
  <si>
    <t xml:space="preserve">CLUTCH ASSY KIT</t>
  </si>
  <si>
    <t xml:space="preserve">15412K0ND01</t>
  </si>
  <si>
    <t xml:space="preserve">OIL FILER SHINE BS6,K3C</t>
  </si>
  <si>
    <t xml:space="preserve">84212300</t>
  </si>
  <si>
    <t xml:space="preserve">12210KTE910</t>
  </si>
  <si>
    <t xml:space="preserve">CAM SHAFT HOLDER SHINE</t>
  </si>
  <si>
    <t xml:space="preserve">84099191</t>
  </si>
  <si>
    <t xml:space="preserve">44820KTE910</t>
  </si>
  <si>
    <t xml:space="preserve">S.M WARM SET SHINE</t>
  </si>
  <si>
    <t xml:space="preserve">45251K0ND81</t>
  </si>
  <si>
    <t xml:space="preserve">DISC PLATE FR SHINE BS6</t>
  </si>
  <si>
    <t xml:space="preserve">12209GB4682</t>
  </si>
  <si>
    <t xml:space="preserve">VALVE OIL SEAL ACT,SHINE,UNC</t>
  </si>
  <si>
    <t xml:space="preserve">40169330</t>
  </si>
  <si>
    <t xml:space="preserve">45251K0VAC1</t>
  </si>
  <si>
    <t xml:space="preserve">DISKFR BRAKE*</t>
  </si>
  <si>
    <t xml:space="preserve">12251KTE911</t>
  </si>
  <si>
    <t xml:space="preserve">HEAD GASKET SHINE</t>
  </si>
  <si>
    <t xml:space="preserve">84841090</t>
  </si>
  <si>
    <t xml:space="preserve">77235KTE911</t>
  </si>
  <si>
    <t xml:space="preserve">SEAT CATCHER SHINE DX,K1C</t>
  </si>
  <si>
    <t xml:space="preserve">15651KTE910</t>
  </si>
  <si>
    <t xml:space="preserve">OIL GUAGE SHINE</t>
  </si>
  <si>
    <t xml:space="preserve">45530471831</t>
  </si>
  <si>
    <t xml:space="preserve">M/C KIT K21,DLX, K55,K43,CBR15</t>
  </si>
  <si>
    <t xml:space="preserve">24781KR3770</t>
  </si>
  <si>
    <t xml:space="preserve">RUBBERGEARCHANGEPEDAL</t>
  </si>
  <si>
    <t xml:space="preserve">52101KTC900</t>
  </si>
  <si>
    <t xml:space="preserve">SUSPENSION AXLE SHINE</t>
  </si>
  <si>
    <t xml:space="preserve">45530KVY911</t>
  </si>
  <si>
    <t xml:space="preserve">M/C KIT DLX,K24,KVT</t>
  </si>
  <si>
    <t xml:space="preserve">37312KTE910</t>
  </si>
  <si>
    <t xml:space="preserve">IGNATION GROMMET SHINE</t>
  </si>
  <si>
    <t xml:space="preserve">35350KTE651</t>
  </si>
  <si>
    <t xml:space="preserve">BRAKE SWITCH RR SHINE DX</t>
  </si>
  <si>
    <t xml:space="preserve">15430KSP910</t>
  </si>
  <si>
    <t xml:space="preserve">CLUTCH ROTER UNC,K21</t>
  </si>
  <si>
    <t xml:space="preserve">43431KTE910</t>
  </si>
  <si>
    <t xml:space="preserve">BRAKE SUPPORT ROD SHINE</t>
  </si>
  <si>
    <t xml:space="preserve">30700K0VA01</t>
  </si>
  <si>
    <t xml:space="preserve">CAP ASSYNOISE  PLUG</t>
  </si>
  <si>
    <t xml:space="preserve">31201KPW901</t>
  </si>
  <si>
    <t xml:space="preserve">SELF BRUSH UNC</t>
  </si>
  <si>
    <t xml:space="preserve">14440K0ND80</t>
  </si>
  <si>
    <t xml:space="preserve">ROCKER EXH SHINE BS6</t>
  </si>
  <si>
    <t xml:space="preserve">84099111</t>
  </si>
  <si>
    <t xml:space="preserve">14430K0ND80</t>
  </si>
  <si>
    <t xml:space="preserve">ROCKER IN KOV,K3C</t>
  </si>
  <si>
    <t xml:space="preserve">9410912000</t>
  </si>
  <si>
    <t xml:space="preserve">OIL BOLT WASHER UNC</t>
  </si>
  <si>
    <t xml:space="preserve">42303KTE910</t>
  </si>
  <si>
    <t xml:space="preserve">HALF AXLE SHINE</t>
  </si>
  <si>
    <t xml:space="preserve">14440K0ND00</t>
  </si>
  <si>
    <t xml:space="preserve">ROCKER EX K55,KOV BEARING{T]</t>
  </si>
  <si>
    <t xml:space="preserve">14430K0ND00</t>
  </si>
  <si>
    <t xml:space="preserve">ROCKER IN K55,KOV,BEARING{T}</t>
  </si>
  <si>
    <t xml:space="preserve">02380K0ND01</t>
  </si>
  <si>
    <t xml:space="preserve">CHAIN KIT SHINE BS6 W/O LINK.</t>
  </si>
  <si>
    <t xml:space="preserve">40520KTE910ZA</t>
  </si>
  <si>
    <t xml:space="preserve">GEAR CASE LOWER SHINE SILVER</t>
  </si>
  <si>
    <t xml:space="preserve">40520KTE910ZB</t>
  </si>
  <si>
    <t xml:space="preserve">GEAR CASE LOWER SHINE BLACK</t>
  </si>
  <si>
    <t xml:space="preserve">53100K0VA00</t>
  </si>
  <si>
    <t xml:space="preserve">HANDLE BAR SHINE BS6</t>
  </si>
  <si>
    <t xml:space="preserve">87149290</t>
  </si>
  <si>
    <t xml:space="preserve">53100K0ND00</t>
  </si>
  <si>
    <t xml:space="preserve">PIPESTRG HANDLE.K1C</t>
  </si>
  <si>
    <t xml:space="preserve">87149100</t>
  </si>
  <si>
    <t xml:space="preserve">52200K0ND00</t>
  </si>
  <si>
    <t xml:space="preserve">SUSPENSION SHINE BS6</t>
  </si>
  <si>
    <t xml:space="preserve">52200KTEA00</t>
  </si>
  <si>
    <t xml:space="preserve">SUSPENSION SHINE N/M</t>
  </si>
  <si>
    <t xml:space="preserve">06430KRP980</t>
  </si>
  <si>
    <t xml:space="preserve">BRAKE SHOE ACTIVA,</t>
  </si>
  <si>
    <t xml:space="preserve">50500KTE911</t>
  </si>
  <si>
    <t xml:space="preserve">CENTER STAND SHINE (8)</t>
  </si>
  <si>
    <t xml:space="preserve">02380K0ND00</t>
  </si>
  <si>
    <t xml:space="preserve">CHAIN KIT SHINE BS6 LINK TY</t>
  </si>
  <si>
    <t xml:space="preserve">02380KTEP11</t>
  </si>
  <si>
    <t xml:space="preserve">CHAIN KIT SHINE</t>
  </si>
  <si>
    <t xml:space="preserve">02380KWF960</t>
  </si>
  <si>
    <t xml:space="preserve">CHAIN KIT STUNNER/SHINE HEAVY</t>
  </si>
  <si>
    <t xml:space="preserve">40510KTE650</t>
  </si>
  <si>
    <t xml:space="preserve">GEAR CASE UPPER DX,K67</t>
  </si>
  <si>
    <t xml:space="preserve">40510KTE910ZA</t>
  </si>
  <si>
    <t xml:space="preserve">GEAR CASE UPPER SHINE SILVER</t>
  </si>
  <si>
    <t xml:space="preserve">40510KTEA00ZA</t>
  </si>
  <si>
    <t xml:space="preserve">GEAR CASE UPPER SHINE BLACK</t>
  </si>
  <si>
    <t xml:space="preserve">40520KTE650</t>
  </si>
  <si>
    <t xml:space="preserve">GEAR CASE LOWER DX,K67</t>
  </si>
  <si>
    <t xml:space="preserve">53100KTE910</t>
  </si>
  <si>
    <t xml:space="preserve">HANDLE BAR SHINE</t>
  </si>
  <si>
    <t xml:space="preserve">37080KTE930</t>
  </si>
  <si>
    <t xml:space="preserve">TANK FUEL UNIT SHINE</t>
  </si>
  <si>
    <t xml:space="preserve">33110KTE911</t>
  </si>
  <si>
    <t xml:space="preserve">TOTAL</t>
  </si>
  <si>
    <t xml:space="preserve">142 line items</t>
  </si>
  <si>
    <t xml:space="preserve">—</t>
  </si>
  <si>
    <t xml:space="preserve">PRICING RULE, verified on all 142 lines: Amount = ROUND(Rate x Qty x 0.85 / 1.18, 2). A flat 15% trade discount, and the Amount column is the GST-exclusive taxable value. Column O recomputes it and column P is the difference - 0.00 on every row.</t>
  </si>
  <si>
    <t xml:space="preserve">VERIFICATION STATUS: the Verification column says whether each row was confirmed field-by-field against a high-resolution image, or only read from a 400 DPI render of the scan. Page 1 is confirmed - all 32 rows were correct, no corrections needed. Rows still marked '400 DPI read only' are shaded amber; treat their Item Code, Description and HSN as provisional.</t>
  </si>
  <si>
    <t xml:space="preserve">STRUCTURAL WARNING for anyone re-reading the scan: on PAGE 2 the 'TOTAL B/F' text sits on the same line as the first item's code, so the HSN/Qty/Rate/Amount block is printed ONE LINE LOWER than the S.No, code and description. Pages 3, 4 and 5 do not have this offset. Reading page 2 the naive way puts every item from S.No 33 onward on the previous item's figures.</t>
  </si>
  <si>
    <t xml:space="preserve">CORRECTIONS FROM VERIFICATION. Page 1: none needed, all 32 rows correct. Page 2: none needed, all 31 rows correct, and the one-line offset described above is confirmed. Page 3: S.No 73 item code 45250KCCS41 -&gt; 45250KCC841. Page 4: none needed, all 31 rows correct. Page 5: none needed, all 17 rows correct. All 142 rows are now confirmed field-by-field against high-resolution images; one correction was needed in total.</t>
  </si>
  <si>
    <t xml:space="preserve">BILLING DISCREPANCY OF 365.00 - see the Reconciliation sheet. The 142 line items total 134,806.00 gross, but the invoice footer shows a Sub Total of 135,171.00. The printed Discount of 20,220.90 is exactly 15% of 134,806.00 (15% of 135,171.00 would be 20,275.65), so the seller's own discount was calculated on the correct base. Only the Sub Total line carries the extra 365.00, and it flows through to the Grand Total. Query this with Gayatri before paying or posting.</t>
  </si>
  <si>
    <t xml:space="preserve">INVENTORY NOTE: use the orange 'Cost per unit' column for stock valuation, NOT the Rate column. Rate is the seller's list price before discount and before the GST split; the cost you actually bear per unit is the line's taxable amount divided by quantity. Posting Rate as cost overstates stock value substantially.</t>
  </si>
  <si>
    <t xml:space="preserve">Reconciliation against the invoice's own printed figures</t>
  </si>
  <si>
    <t xml:space="preserve">TOTAL C/F on each page is the running sum of ROUND(Rate x Qty / 1.18, 2) - the pre-discount taxable value. It validates Rate and Qty together, so a single misread digit shows up immediately.</t>
  </si>
  <si>
    <t xml:space="preserve">Rows</t>
  </si>
  <si>
    <t xml:space="preserve">C/F printed</t>
  </si>
  <si>
    <t xml:space="preserve">C/F calculated</t>
  </si>
  <si>
    <t xml:space="preserve">1 - 32</t>
  </si>
  <si>
    <t xml:space="preserve">33 - 63</t>
  </si>
  <si>
    <t xml:space="preserve">64 - 94</t>
  </si>
  <si>
    <t xml:space="preserve">95 - 125</t>
  </si>
  <si>
    <t xml:space="preserve">126 - 142</t>
  </si>
  <si>
    <t xml:space="preserve">not printed</t>
  </si>
  <si>
    <t xml:space="preserve">Grand total reconciliation</t>
  </si>
  <si>
    <t xml:space="preserve">Item</t>
  </si>
  <si>
    <t xml:space="preserve">Printed on invoice</t>
  </si>
  <si>
    <t xml:space="preserve">From these 142 lines</t>
  </si>
  <si>
    <t xml:space="preserve">Sub Total (gross)</t>
  </si>
  <si>
    <t xml:space="preserve">Discount (15%)</t>
  </si>
  <si>
    <t xml:space="preserve">Taxable / Net</t>
  </si>
  <si>
    <t xml:space="preserve">CGST @ 9%</t>
  </si>
  <si>
    <t xml:space="preserve">SGST @ 9%</t>
  </si>
  <si>
    <t xml:space="preserve">GRAND TOTAL</t>
  </si>
  <si>
    <t xml:space="preserve">OPEN ITEM - one line is missing</t>
  </si>
  <si>
    <t xml:space="preserve">The printed Discount of 20,220.90 is EXACTLY 15% of the 134,806.00 gross of these 142 lines. 15% of the printed Sub Total (135,171.00) would be 20,275.65, which is NOT what the invoice shows. So the seller's system calculated the discount on 134,806.00 - it agrees with the line items.</t>
  </si>
  <si>
    <t xml:space="preserve">Only the Sub Total line carries the extra 365.00, and it flows straight through: Sub Total 135,171.00 less Discount 20,220.90 = 114,950.10, billed as 114,950.00. Built from the line items instead: 134,806.00 less 20,220.90 = 114,585.10, i.e. a Grand Total of 114,585.00. The difference is exactly 365.00.</t>
  </si>
  <si>
    <t xml:space="preserve">Taxable should be 97,106.02 (CGST and SGST 8,739.54 each) rather than the printed 97,415.28 (8,767.41 each). Input tax credit claimed on this invoice would be overstated by 27.87 in each of CGST and SGST.</t>
  </si>
  <si>
    <t xml:space="preserve">All five item pages are now accounted for. Pages 1-4 each reconcile to their printed TOTAL C/F within 0.03, which could not happen if a line were missing from them. Pages 1, 2, 3 and 5 have each been confirmed field-by-field against a high-resolution image and none carries an unnumbered extra line. So the 365.00 is not a line item that was missed in extraction - it is present only in the invoice footer. Raise it with Gayatri Auto Distributors: either a charge was applied without being itemised, or the Sub Total is overstated.</t>
  </si>
  <si>
    <t xml:space="preserve">TAX INVOICE - CREDIT</t>
  </si>
  <si>
    <t xml:space="preserve">Seller</t>
  </si>
  <si>
    <t xml:space="preserve">GAYATRI AUTO DISTRIBUTORS (Honda)</t>
  </si>
  <si>
    <t xml:space="preserve">Seller Address</t>
  </si>
  <si>
    <t xml:space="preserve">25-106\10, Ice Factory Road, R.R Nagar, Kabela, Vijayawada - 520012</t>
  </si>
  <si>
    <t xml:space="preserve">Seller Phone</t>
  </si>
  <si>
    <t xml:space="preserve">8099550066, 9030909094</t>
  </si>
  <si>
    <t xml:space="preserve">Seller Email</t>
  </si>
  <si>
    <t xml:space="preserve">GAYATRIHONDA@GMAIL.COM</t>
  </si>
  <si>
    <t xml:space="preserve">Seller GSTIN</t>
  </si>
  <si>
    <t xml:space="preserve">37AAWFG4156F1Z0</t>
  </si>
  <si>
    <t xml:space="preserve">IRN</t>
  </si>
  <si>
    <t xml:space="preserve">71745dcbb6f0fe54b5432cae0ef9180884465f11bf9013af9915cf8810dd0ad5</t>
  </si>
  <si>
    <t xml:space="preserve">Invoice No.</t>
  </si>
  <si>
    <t xml:space="preserve">V006026</t>
  </si>
  <si>
    <t xml:space="preserve">Invoice Date</t>
  </si>
  <si>
    <t xml:space="preserve">26/02/2026</t>
  </si>
  <si>
    <t xml:space="preserve">Type</t>
  </si>
  <si>
    <t xml:space="preserve">Buyer</t>
  </si>
  <si>
    <t xml:space="preserve">M/s SRI SRI SATYA SAI AUTOMOBILE AGENCY-TPG</t>
  </si>
  <si>
    <t xml:space="preserve">Buyer Address</t>
  </si>
  <si>
    <t xml:space="preserve">Dr.No.2-12-27/1, OPP: BSNL Telephone Exchange, Railway Station Road, TADEPALLIGUDEM</t>
  </si>
  <si>
    <t xml:space="preserve">Buyer Phone</t>
  </si>
  <si>
    <t xml:space="preserve">9014638309</t>
  </si>
  <si>
    <t xml:space="preserve">Buyer GSTIN</t>
  </si>
  <si>
    <t xml:space="preserve">37CUJPG4763K1Z5</t>
  </si>
  <si>
    <t xml:space="preserve">Order No &amp; dt</t>
  </si>
  <si>
    <t xml:space="preserve">OS6123</t>
  </si>
  <si>
    <t xml:space="preserve">Picked by</t>
  </si>
  <si>
    <t xml:space="preserve">SRINU</t>
  </si>
  <si>
    <t xml:space="preserve">Checked by</t>
  </si>
  <si>
    <t xml:space="preserve">MAHESWARI, N.L.S.L</t>
  </si>
  <si>
    <t xml:space="preserve">Transport</t>
  </si>
  <si>
    <t xml:space="preserve">MARUTHI</t>
  </si>
  <si>
    <t xml:space="preserve">W.No &amp; Dt</t>
  </si>
  <si>
    <t xml:space="preserve">No of Pkt</t>
  </si>
  <si>
    <t xml:space="preserve">6-CB</t>
  </si>
  <si>
    <t xml:space="preserve">Bank</t>
  </si>
  <si>
    <t xml:space="preserve">Kotak Mahindra Bank, A/c 9030909094, IFSC KKBK0007627, Governorpet branch</t>
  </si>
  <si>
    <t xml:space="preserve">UPI</t>
  </si>
  <si>
    <t xml:space="preserve">gayatrivja@kotak</t>
  </si>
  <si>
    <t xml:space="preserve">TOTALS (as printed)</t>
  </si>
  <si>
    <t xml:space="preserve">Sub Total</t>
  </si>
  <si>
    <t xml:space="preserve">Discount</t>
  </si>
  <si>
    <t xml:space="preserve">Taxable (GST 18%)</t>
  </si>
  <si>
    <t xml:space="preserve">CGST Payable</t>
  </si>
  <si>
    <t xml:space="preserve">SGST Payable</t>
  </si>
  <si>
    <t xml:space="preserve">Total GST</t>
  </si>
  <si>
    <t xml:space="preserve">TCS</t>
  </si>
  <si>
    <t xml:space="preserve">In words</t>
  </si>
  <si>
    <t xml:space="preserve">Rs. One Lakh Fourteen Thousand Nine Hundred Fifty Only</t>
  </si>
  <si>
    <t xml:space="preserve">Old Balance</t>
  </si>
  <si>
    <t xml:space="preserve">New Balance</t>
  </si>
  <si>
    <t xml:space="preserve">Gross (page 5 footer)</t>
  </si>
  <si>
    <t xml:space="preserve">Net (page 5 footer)</t>
  </si>
  <si>
    <t xml:space="preserve">Summary by HSN (all lines 18%: CGST 9% + SGST 9%)</t>
  </si>
  <si>
    <t xml:space="preserve">Lines</t>
  </si>
  <si>
    <t xml:space="preserve">Taxable</t>
  </si>
  <si>
    <t xml:space="preserve">CGST</t>
  </si>
  <si>
    <t xml:space="preserve">SGST</t>
  </si>
  <si>
    <t xml:space="preserve">Total</t>
  </si>
</sst>
</file>

<file path=xl/styles.xml><?xml version="1.0" encoding="utf-8"?>
<styleSheet xmlns="http://schemas.openxmlformats.org/spreadsheetml/2006/main">
  <numFmts count="3">
    <numFmt numFmtId="164" formatCode="General"/>
    <numFmt numFmtId="165" formatCode="#,##0.00"/>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
      <i val="true"/>
      <sz val="9"/>
      <color rgb="FFC55A11"/>
      <name val="Arial"/>
      <family val="0"/>
      <charset val="1"/>
    </font>
    <font>
      <b val="true"/>
      <sz val="13"/>
      <color rgb="FF1F3864"/>
      <name val="Arial"/>
      <family val="0"/>
      <charset val="1"/>
    </font>
    <font>
      <sz val="10"/>
      <color rgb="FF0000FF"/>
      <name val="Arial"/>
      <family val="0"/>
      <charset val="1"/>
    </font>
    <font>
      <b val="true"/>
      <sz val="11"/>
      <color rgb="FFC00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C55A11"/>
        <bgColor rgb="FF993300"/>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5" fontId="6" fillId="4"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C55A11"/>
      <rgbColor rgb="FF66669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7"/>
    <col collapsed="false" customWidth="true" hidden="false" outlineLevel="0" max="3" min="3" style="1" width="34"/>
    <col collapsed="false" customWidth="true" hidden="false" outlineLevel="0" max="4" min="4" style="1" width="11"/>
    <col collapsed="false" customWidth="true" hidden="false" outlineLevel="0" max="6" min="5" style="1" width="7"/>
    <col collapsed="false" customWidth="true" hidden="false" outlineLevel="0" max="7" min="7" style="1" width="11"/>
    <col collapsed="false" customWidth="true" hidden="false" outlineLevel="0" max="8" min="8" style="1" width="16"/>
    <col collapsed="false" customWidth="true" hidden="false" outlineLevel="0" max="9" min="9" style="1" width="8"/>
    <col collapsed="false" customWidth="true" hidden="false" outlineLevel="0" max="10" min="10" style="1" width="12"/>
    <col collapsed="false" customWidth="true" hidden="false" outlineLevel="0" max="11" min="11" style="1" width="8"/>
    <col collapsed="false" customWidth="true" hidden="false" outlineLevel="0" max="12" min="12" style="1" width="12"/>
    <col collapsed="false" customWidth="true" hidden="false" outlineLevel="0" max="13" min="13" style="1" width="13"/>
    <col collapsed="false" customWidth="true" hidden="false" outlineLevel="0" max="14" min="14" style="1" width="16"/>
    <col collapsed="false" customWidth="true" hidden="false" outlineLevel="0" max="15" min="15" style="1" width="22"/>
    <col collapsed="false" customWidth="true" hidden="false" outlineLevel="0" max="16" min="16" style="1" width="9"/>
    <col collapsed="false" customWidth="true" hidden="false" outlineLevel="0" max="17" min="17" style="1" width="7"/>
    <col collapsed="false" customWidth="true" hidden="false" outlineLevel="0" max="18" min="18" style="1" width="26"/>
    <col collapsed="false" customWidth="true" hidden="false" outlineLevel="0" max="19" min="19" style="1" width="24"/>
  </cols>
  <sheetData>
    <row r="1" customFormat="false" ht="42"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row>
    <row r="2" customFormat="false" ht="15" hidden="false" customHeight="true" outlineLevel="0" collapsed="false">
      <c r="A2" s="4" t="n">
        <v>1</v>
      </c>
      <c r="B2" s="4" t="s">
        <v>19</v>
      </c>
      <c r="C2" s="4" t="s">
        <v>20</v>
      </c>
      <c r="D2" s="5" t="s">
        <v>21</v>
      </c>
      <c r="E2" s="5" t="n">
        <v>1</v>
      </c>
      <c r="F2" s="5" t="s">
        <v>22</v>
      </c>
      <c r="G2" s="6" t="n">
        <v>349</v>
      </c>
      <c r="H2" s="6" t="n">
        <v>251.4</v>
      </c>
      <c r="I2" s="7" t="n">
        <v>0.09</v>
      </c>
      <c r="J2" s="6" t="n">
        <f aca="false">ROUND(H2*I2,2)</f>
        <v>22.63</v>
      </c>
      <c r="K2" s="7" t="n">
        <v>0.09</v>
      </c>
      <c r="L2" s="6" t="n">
        <f aca="false">ROUND(H2*K2,2)</f>
        <v>22.63</v>
      </c>
      <c r="M2" s="6" t="n">
        <f aca="false">H2+J2+L2</f>
        <v>296.66</v>
      </c>
      <c r="N2" s="6" t="n">
        <f aca="false">G2*E2</f>
        <v>349</v>
      </c>
      <c r="O2" s="6" t="n">
        <f aca="false">ROUND(N2*0.85/1.18,2)</f>
        <v>251.4</v>
      </c>
      <c r="P2" s="6" t="n">
        <f aca="false">ROUND(O2-H2,2)</f>
        <v>0</v>
      </c>
      <c r="Q2" s="5" t="n">
        <v>1</v>
      </c>
      <c r="R2" s="5" t="s">
        <v>23</v>
      </c>
      <c r="S2" s="6" t="n">
        <f aca="false">ROUND(H2/E2,2)</f>
        <v>251.4</v>
      </c>
    </row>
    <row r="3" customFormat="false" ht="15" hidden="false" customHeight="true" outlineLevel="0" collapsed="false">
      <c r="A3" s="4" t="n">
        <v>2</v>
      </c>
      <c r="B3" s="4" t="s">
        <v>24</v>
      </c>
      <c r="C3" s="4" t="s">
        <v>20</v>
      </c>
      <c r="D3" s="5" t="s">
        <v>21</v>
      </c>
      <c r="E3" s="5" t="n">
        <v>1</v>
      </c>
      <c r="F3" s="5" t="s">
        <v>22</v>
      </c>
      <c r="G3" s="6" t="n">
        <v>266</v>
      </c>
      <c r="H3" s="6" t="n">
        <v>191.61</v>
      </c>
      <c r="I3" s="7" t="n">
        <v>0.09</v>
      </c>
      <c r="J3" s="6" t="n">
        <f aca="false">ROUND(H3*I3,2)</f>
        <v>17.24</v>
      </c>
      <c r="K3" s="7" t="n">
        <v>0.09</v>
      </c>
      <c r="L3" s="6" t="n">
        <f aca="false">ROUND(H3*K3,2)</f>
        <v>17.24</v>
      </c>
      <c r="M3" s="6" t="n">
        <f aca="false">H3+J3+L3</f>
        <v>226.09</v>
      </c>
      <c r="N3" s="6" t="n">
        <f aca="false">G3*E3</f>
        <v>266</v>
      </c>
      <c r="O3" s="6" t="n">
        <f aca="false">ROUND(N3*0.85/1.18,2)</f>
        <v>191.61</v>
      </c>
      <c r="P3" s="6" t="n">
        <f aca="false">ROUND(O3-H3,2)</f>
        <v>0</v>
      </c>
      <c r="Q3" s="5" t="n">
        <v>1</v>
      </c>
      <c r="R3" s="5" t="s">
        <v>23</v>
      </c>
      <c r="S3" s="6" t="n">
        <f aca="false">ROUND(H3/E3,2)</f>
        <v>191.61</v>
      </c>
    </row>
    <row r="4" customFormat="false" ht="15" hidden="false" customHeight="true" outlineLevel="0" collapsed="false">
      <c r="A4" s="4" t="n">
        <v>3</v>
      </c>
      <c r="B4" s="4" t="s">
        <v>25</v>
      </c>
      <c r="C4" s="4" t="s">
        <v>20</v>
      </c>
      <c r="D4" s="5" t="s">
        <v>21</v>
      </c>
      <c r="E4" s="5" t="n">
        <v>1</v>
      </c>
      <c r="F4" s="5" t="s">
        <v>22</v>
      </c>
      <c r="G4" s="6" t="n">
        <v>270</v>
      </c>
      <c r="H4" s="6" t="n">
        <v>194.49</v>
      </c>
      <c r="I4" s="7" t="n">
        <v>0.09</v>
      </c>
      <c r="J4" s="6" t="n">
        <f aca="false">ROUND(H4*I4,2)</f>
        <v>17.5</v>
      </c>
      <c r="K4" s="7" t="n">
        <v>0.09</v>
      </c>
      <c r="L4" s="6" t="n">
        <f aca="false">ROUND(H4*K4,2)</f>
        <v>17.5</v>
      </c>
      <c r="M4" s="6" t="n">
        <f aca="false">H4+J4+L4</f>
        <v>229.49</v>
      </c>
      <c r="N4" s="6" t="n">
        <f aca="false">G4*E4</f>
        <v>270</v>
      </c>
      <c r="O4" s="6" t="n">
        <f aca="false">ROUND(N4*0.85/1.18,2)</f>
        <v>194.49</v>
      </c>
      <c r="P4" s="6" t="n">
        <f aca="false">ROUND(O4-H4,2)</f>
        <v>0</v>
      </c>
      <c r="Q4" s="5" t="n">
        <v>1</v>
      </c>
      <c r="R4" s="5" t="s">
        <v>23</v>
      </c>
      <c r="S4" s="6" t="n">
        <f aca="false">ROUND(H4/E4,2)</f>
        <v>194.49</v>
      </c>
    </row>
    <row r="5" customFormat="false" ht="15" hidden="false" customHeight="true" outlineLevel="0" collapsed="false">
      <c r="A5" s="4" t="n">
        <v>4</v>
      </c>
      <c r="B5" s="4" t="s">
        <v>26</v>
      </c>
      <c r="C5" s="4" t="s">
        <v>27</v>
      </c>
      <c r="D5" s="5" t="s">
        <v>21</v>
      </c>
      <c r="E5" s="5" t="n">
        <v>1</v>
      </c>
      <c r="F5" s="5" t="s">
        <v>22</v>
      </c>
      <c r="G5" s="6" t="n">
        <v>475</v>
      </c>
      <c r="H5" s="6" t="n">
        <v>342.16</v>
      </c>
      <c r="I5" s="7" t="n">
        <v>0.09</v>
      </c>
      <c r="J5" s="6" t="n">
        <f aca="false">ROUND(H5*I5,2)</f>
        <v>30.79</v>
      </c>
      <c r="K5" s="7" t="n">
        <v>0.09</v>
      </c>
      <c r="L5" s="6" t="n">
        <f aca="false">ROUND(H5*K5,2)</f>
        <v>30.79</v>
      </c>
      <c r="M5" s="6" t="n">
        <f aca="false">H5+J5+L5</f>
        <v>403.74</v>
      </c>
      <c r="N5" s="6" t="n">
        <f aca="false">G5*E5</f>
        <v>475</v>
      </c>
      <c r="O5" s="6" t="n">
        <f aca="false">ROUND(N5*0.85/1.18,2)</f>
        <v>342.16</v>
      </c>
      <c r="P5" s="6" t="n">
        <f aca="false">ROUND(O5-H5,2)</f>
        <v>0</v>
      </c>
      <c r="Q5" s="5" t="n">
        <v>1</v>
      </c>
      <c r="R5" s="5" t="s">
        <v>23</v>
      </c>
      <c r="S5" s="6" t="n">
        <f aca="false">ROUND(H5/E5,2)</f>
        <v>342.16</v>
      </c>
    </row>
    <row r="6" customFormat="false" ht="15" hidden="false" customHeight="true" outlineLevel="0" collapsed="false">
      <c r="A6" s="4" t="n">
        <v>5</v>
      </c>
      <c r="B6" s="4" t="s">
        <v>28</v>
      </c>
      <c r="C6" s="4" t="s">
        <v>29</v>
      </c>
      <c r="D6" s="5" t="s">
        <v>21</v>
      </c>
      <c r="E6" s="5" t="n">
        <v>2</v>
      </c>
      <c r="F6" s="5" t="s">
        <v>22</v>
      </c>
      <c r="G6" s="6" t="n">
        <v>292</v>
      </c>
      <c r="H6" s="6" t="n">
        <v>420.68</v>
      </c>
      <c r="I6" s="7" t="n">
        <v>0.09</v>
      </c>
      <c r="J6" s="6" t="n">
        <f aca="false">ROUND(H6*I6,2)</f>
        <v>37.86</v>
      </c>
      <c r="K6" s="7" t="n">
        <v>0.09</v>
      </c>
      <c r="L6" s="6" t="n">
        <f aca="false">ROUND(H6*K6,2)</f>
        <v>37.86</v>
      </c>
      <c r="M6" s="6" t="n">
        <f aca="false">H6+J6+L6</f>
        <v>496.4</v>
      </c>
      <c r="N6" s="6" t="n">
        <f aca="false">G6*E6</f>
        <v>584</v>
      </c>
      <c r="O6" s="6" t="n">
        <f aca="false">ROUND(N6*0.85/1.18,2)</f>
        <v>420.68</v>
      </c>
      <c r="P6" s="6" t="n">
        <f aca="false">ROUND(O6-H6,2)</f>
        <v>0</v>
      </c>
      <c r="Q6" s="5" t="n">
        <v>1</v>
      </c>
      <c r="R6" s="5" t="s">
        <v>23</v>
      </c>
      <c r="S6" s="6" t="n">
        <f aca="false">ROUND(H6/E6,2)</f>
        <v>210.34</v>
      </c>
    </row>
    <row r="7" customFormat="false" ht="15" hidden="false" customHeight="true" outlineLevel="0" collapsed="false">
      <c r="A7" s="4" t="n">
        <v>6</v>
      </c>
      <c r="B7" s="4" t="s">
        <v>30</v>
      </c>
      <c r="C7" s="4" t="s">
        <v>31</v>
      </c>
      <c r="D7" s="5" t="s">
        <v>32</v>
      </c>
      <c r="E7" s="5" t="n">
        <v>2</v>
      </c>
      <c r="F7" s="5" t="s">
        <v>22</v>
      </c>
      <c r="G7" s="6" t="n">
        <v>663</v>
      </c>
      <c r="H7" s="6" t="n">
        <v>955.17</v>
      </c>
      <c r="I7" s="7" t="n">
        <v>0.09</v>
      </c>
      <c r="J7" s="6" t="n">
        <f aca="false">ROUND(H7*I7,2)</f>
        <v>85.97</v>
      </c>
      <c r="K7" s="7" t="n">
        <v>0.09</v>
      </c>
      <c r="L7" s="6" t="n">
        <f aca="false">ROUND(H7*K7,2)</f>
        <v>85.97</v>
      </c>
      <c r="M7" s="6" t="n">
        <f aca="false">H7+J7+L7</f>
        <v>1127.11</v>
      </c>
      <c r="N7" s="6" t="n">
        <f aca="false">G7*E7</f>
        <v>1326</v>
      </c>
      <c r="O7" s="6" t="n">
        <f aca="false">ROUND(N7*0.85/1.18,2)</f>
        <v>955.17</v>
      </c>
      <c r="P7" s="6" t="n">
        <f aca="false">ROUND(O7-H7,2)</f>
        <v>0</v>
      </c>
      <c r="Q7" s="5" t="n">
        <v>1</v>
      </c>
      <c r="R7" s="5" t="s">
        <v>23</v>
      </c>
      <c r="S7" s="6" t="n">
        <f aca="false">ROUND(H7/E7,2)</f>
        <v>477.59</v>
      </c>
    </row>
    <row r="8" customFormat="false" ht="15" hidden="false" customHeight="true" outlineLevel="0" collapsed="false">
      <c r="A8" s="4" t="n">
        <v>7</v>
      </c>
      <c r="B8" s="4" t="s">
        <v>33</v>
      </c>
      <c r="C8" s="4" t="s">
        <v>34</v>
      </c>
      <c r="D8" s="5" t="s">
        <v>21</v>
      </c>
      <c r="E8" s="5" t="n">
        <v>1</v>
      </c>
      <c r="F8" s="5" t="s">
        <v>22</v>
      </c>
      <c r="G8" s="6" t="n">
        <v>1498</v>
      </c>
      <c r="H8" s="6" t="n">
        <v>1079.07</v>
      </c>
      <c r="I8" s="7" t="n">
        <v>0.09</v>
      </c>
      <c r="J8" s="6" t="n">
        <f aca="false">ROUND(H8*I8,2)</f>
        <v>97.12</v>
      </c>
      <c r="K8" s="7" t="n">
        <v>0.09</v>
      </c>
      <c r="L8" s="6" t="n">
        <f aca="false">ROUND(H8*K8,2)</f>
        <v>97.12</v>
      </c>
      <c r="M8" s="6" t="n">
        <f aca="false">H8+J8+L8</f>
        <v>1273.31</v>
      </c>
      <c r="N8" s="6" t="n">
        <f aca="false">G8*E8</f>
        <v>1498</v>
      </c>
      <c r="O8" s="6" t="n">
        <f aca="false">ROUND(N8*0.85/1.18,2)</f>
        <v>1079.07</v>
      </c>
      <c r="P8" s="6" t="n">
        <f aca="false">ROUND(O8-H8,2)</f>
        <v>0</v>
      </c>
      <c r="Q8" s="5" t="n">
        <v>1</v>
      </c>
      <c r="R8" s="5" t="s">
        <v>23</v>
      </c>
      <c r="S8" s="6" t="n">
        <f aca="false">ROUND(H8/E8,2)</f>
        <v>1079.07</v>
      </c>
    </row>
    <row r="9" customFormat="false" ht="15" hidden="false" customHeight="true" outlineLevel="0" collapsed="false">
      <c r="A9" s="4" t="n">
        <v>8</v>
      </c>
      <c r="B9" s="4" t="s">
        <v>35</v>
      </c>
      <c r="C9" s="4" t="s">
        <v>36</v>
      </c>
      <c r="D9" s="5" t="s">
        <v>21</v>
      </c>
      <c r="E9" s="5" t="n">
        <v>1</v>
      </c>
      <c r="F9" s="5" t="s">
        <v>22</v>
      </c>
      <c r="G9" s="6" t="n">
        <v>1584</v>
      </c>
      <c r="H9" s="6" t="n">
        <v>1141.02</v>
      </c>
      <c r="I9" s="7" t="n">
        <v>0.09</v>
      </c>
      <c r="J9" s="6" t="n">
        <f aca="false">ROUND(H9*I9,2)</f>
        <v>102.69</v>
      </c>
      <c r="K9" s="7" t="n">
        <v>0.09</v>
      </c>
      <c r="L9" s="6" t="n">
        <f aca="false">ROUND(H9*K9,2)</f>
        <v>102.69</v>
      </c>
      <c r="M9" s="6" t="n">
        <f aca="false">H9+J9+L9</f>
        <v>1346.4</v>
      </c>
      <c r="N9" s="6" t="n">
        <f aca="false">G9*E9</f>
        <v>1584</v>
      </c>
      <c r="O9" s="6" t="n">
        <f aca="false">ROUND(N9*0.85/1.18,2)</f>
        <v>1141.02</v>
      </c>
      <c r="P9" s="6" t="n">
        <f aca="false">ROUND(O9-H9,2)</f>
        <v>0</v>
      </c>
      <c r="Q9" s="5" t="n">
        <v>1</v>
      </c>
      <c r="R9" s="5" t="s">
        <v>23</v>
      </c>
      <c r="S9" s="6" t="n">
        <f aca="false">ROUND(H9/E9,2)</f>
        <v>1141.02</v>
      </c>
    </row>
    <row r="10" customFormat="false" ht="15" hidden="false" customHeight="true" outlineLevel="0" collapsed="false">
      <c r="A10" s="4" t="n">
        <v>9</v>
      </c>
      <c r="B10" s="4" t="s">
        <v>37</v>
      </c>
      <c r="C10" s="4" t="s">
        <v>38</v>
      </c>
      <c r="D10" s="5" t="s">
        <v>21</v>
      </c>
      <c r="E10" s="5" t="n">
        <v>1</v>
      </c>
      <c r="F10" s="5" t="s">
        <v>22</v>
      </c>
      <c r="G10" s="6" t="n">
        <v>1559</v>
      </c>
      <c r="H10" s="6" t="n">
        <v>1123.01</v>
      </c>
      <c r="I10" s="7" t="n">
        <v>0.09</v>
      </c>
      <c r="J10" s="6" t="n">
        <f aca="false">ROUND(H10*I10,2)</f>
        <v>101.07</v>
      </c>
      <c r="K10" s="7" t="n">
        <v>0.09</v>
      </c>
      <c r="L10" s="6" t="n">
        <f aca="false">ROUND(H10*K10,2)</f>
        <v>101.07</v>
      </c>
      <c r="M10" s="6" t="n">
        <f aca="false">H10+J10+L10</f>
        <v>1325.15</v>
      </c>
      <c r="N10" s="6" t="n">
        <f aca="false">G10*E10</f>
        <v>1559</v>
      </c>
      <c r="O10" s="6" t="n">
        <f aca="false">ROUND(N10*0.85/1.18,2)</f>
        <v>1123.01</v>
      </c>
      <c r="P10" s="6" t="n">
        <f aca="false">ROUND(O10-H10,2)</f>
        <v>0</v>
      </c>
      <c r="Q10" s="5" t="n">
        <v>1</v>
      </c>
      <c r="R10" s="5" t="s">
        <v>23</v>
      </c>
      <c r="S10" s="6" t="n">
        <f aca="false">ROUND(H10/E10,2)</f>
        <v>1123.01</v>
      </c>
    </row>
    <row r="11" customFormat="false" ht="15" hidden="false" customHeight="true" outlineLevel="0" collapsed="false">
      <c r="A11" s="4" t="n">
        <v>10</v>
      </c>
      <c r="B11" s="4" t="s">
        <v>39</v>
      </c>
      <c r="C11" s="4" t="s">
        <v>40</v>
      </c>
      <c r="D11" s="5" t="s">
        <v>21</v>
      </c>
      <c r="E11" s="5" t="n">
        <v>2</v>
      </c>
      <c r="F11" s="5" t="s">
        <v>22</v>
      </c>
      <c r="G11" s="6" t="n">
        <v>1171</v>
      </c>
      <c r="H11" s="6" t="n">
        <v>1687.03</v>
      </c>
      <c r="I11" s="7" t="n">
        <v>0.09</v>
      </c>
      <c r="J11" s="6" t="n">
        <f aca="false">ROUND(H11*I11,2)</f>
        <v>151.83</v>
      </c>
      <c r="K11" s="7" t="n">
        <v>0.09</v>
      </c>
      <c r="L11" s="6" t="n">
        <f aca="false">ROUND(H11*K11,2)</f>
        <v>151.83</v>
      </c>
      <c r="M11" s="6" t="n">
        <f aca="false">H11+J11+L11</f>
        <v>1990.69</v>
      </c>
      <c r="N11" s="6" t="n">
        <f aca="false">G11*E11</f>
        <v>2342</v>
      </c>
      <c r="O11" s="6" t="n">
        <f aca="false">ROUND(N11*0.85/1.18,2)</f>
        <v>1687.03</v>
      </c>
      <c r="P11" s="6" t="n">
        <f aca="false">ROUND(O11-H11,2)</f>
        <v>0</v>
      </c>
      <c r="Q11" s="5" t="n">
        <v>1</v>
      </c>
      <c r="R11" s="5" t="s">
        <v>23</v>
      </c>
      <c r="S11" s="6" t="n">
        <f aca="false">ROUND(H11/E11,2)</f>
        <v>843.52</v>
      </c>
    </row>
    <row r="12" customFormat="false" ht="15" hidden="false" customHeight="true" outlineLevel="0" collapsed="false">
      <c r="A12" s="4" t="n">
        <v>11</v>
      </c>
      <c r="B12" s="4" t="s">
        <v>41</v>
      </c>
      <c r="C12" s="4" t="s">
        <v>42</v>
      </c>
      <c r="D12" s="5" t="s">
        <v>21</v>
      </c>
      <c r="E12" s="5" t="n">
        <v>1</v>
      </c>
      <c r="F12" s="5" t="s">
        <v>22</v>
      </c>
      <c r="G12" s="6" t="n">
        <v>1052</v>
      </c>
      <c r="H12" s="6" t="n">
        <v>757.8</v>
      </c>
      <c r="I12" s="7" t="n">
        <v>0.09</v>
      </c>
      <c r="J12" s="6" t="n">
        <f aca="false">ROUND(H12*I12,2)</f>
        <v>68.2</v>
      </c>
      <c r="K12" s="7" t="n">
        <v>0.09</v>
      </c>
      <c r="L12" s="6" t="n">
        <f aca="false">ROUND(H12*K12,2)</f>
        <v>68.2</v>
      </c>
      <c r="M12" s="6" t="n">
        <f aca="false">H12+J12+L12</f>
        <v>894.2</v>
      </c>
      <c r="N12" s="6" t="n">
        <f aca="false">G12*E12</f>
        <v>1052</v>
      </c>
      <c r="O12" s="6" t="n">
        <f aca="false">ROUND(N12*0.85/1.18,2)</f>
        <v>757.8</v>
      </c>
      <c r="P12" s="6" t="n">
        <f aca="false">ROUND(O12-H12,2)</f>
        <v>0</v>
      </c>
      <c r="Q12" s="5" t="n">
        <v>1</v>
      </c>
      <c r="R12" s="5" t="s">
        <v>23</v>
      </c>
      <c r="S12" s="6" t="n">
        <f aca="false">ROUND(H12/E12,2)</f>
        <v>757.8</v>
      </c>
    </row>
    <row r="13" customFormat="false" ht="15" hidden="false" customHeight="true" outlineLevel="0" collapsed="false">
      <c r="A13" s="4" t="n">
        <v>12</v>
      </c>
      <c r="B13" s="4" t="s">
        <v>43</v>
      </c>
      <c r="C13" s="4" t="s">
        <v>44</v>
      </c>
      <c r="D13" s="5" t="s">
        <v>21</v>
      </c>
      <c r="E13" s="5" t="n">
        <v>1</v>
      </c>
      <c r="F13" s="5" t="s">
        <v>22</v>
      </c>
      <c r="G13" s="6" t="n">
        <v>1548</v>
      </c>
      <c r="H13" s="6" t="n">
        <v>1115.08</v>
      </c>
      <c r="I13" s="7" t="n">
        <v>0.09</v>
      </c>
      <c r="J13" s="6" t="n">
        <f aca="false">ROUND(H13*I13,2)</f>
        <v>100.36</v>
      </c>
      <c r="K13" s="7" t="n">
        <v>0.09</v>
      </c>
      <c r="L13" s="6" t="n">
        <f aca="false">ROUND(H13*K13,2)</f>
        <v>100.36</v>
      </c>
      <c r="M13" s="6" t="n">
        <f aca="false">H13+J13+L13</f>
        <v>1315.8</v>
      </c>
      <c r="N13" s="6" t="n">
        <f aca="false">G13*E13</f>
        <v>1548</v>
      </c>
      <c r="O13" s="6" t="n">
        <f aca="false">ROUND(N13*0.85/1.18,2)</f>
        <v>1115.08</v>
      </c>
      <c r="P13" s="6" t="n">
        <f aca="false">ROUND(O13-H13,2)</f>
        <v>0</v>
      </c>
      <c r="Q13" s="5" t="n">
        <v>1</v>
      </c>
      <c r="R13" s="5" t="s">
        <v>23</v>
      </c>
      <c r="S13" s="6" t="n">
        <f aca="false">ROUND(H13/E13,2)</f>
        <v>1115.08</v>
      </c>
    </row>
    <row r="14" customFormat="false" ht="15" hidden="false" customHeight="true" outlineLevel="0" collapsed="false">
      <c r="A14" s="4" t="n">
        <v>13</v>
      </c>
      <c r="B14" s="4" t="s">
        <v>45</v>
      </c>
      <c r="C14" s="4" t="s">
        <v>46</v>
      </c>
      <c r="D14" s="5" t="s">
        <v>32</v>
      </c>
      <c r="E14" s="5" t="n">
        <v>1</v>
      </c>
      <c r="F14" s="5" t="s">
        <v>22</v>
      </c>
      <c r="G14" s="6" t="n">
        <v>285</v>
      </c>
      <c r="H14" s="6" t="n">
        <v>205.3</v>
      </c>
      <c r="I14" s="7" t="n">
        <v>0.09</v>
      </c>
      <c r="J14" s="6" t="n">
        <f aca="false">ROUND(H14*I14,2)</f>
        <v>18.48</v>
      </c>
      <c r="K14" s="7" t="n">
        <v>0.09</v>
      </c>
      <c r="L14" s="6" t="n">
        <f aca="false">ROUND(H14*K14,2)</f>
        <v>18.48</v>
      </c>
      <c r="M14" s="6" t="n">
        <f aca="false">H14+J14+L14</f>
        <v>242.26</v>
      </c>
      <c r="N14" s="6" t="n">
        <f aca="false">G14*E14</f>
        <v>285</v>
      </c>
      <c r="O14" s="6" t="n">
        <f aca="false">ROUND(N14*0.85/1.18,2)</f>
        <v>205.3</v>
      </c>
      <c r="P14" s="6" t="n">
        <f aca="false">ROUND(O14-H14,2)</f>
        <v>0</v>
      </c>
      <c r="Q14" s="5" t="n">
        <v>1</v>
      </c>
      <c r="R14" s="5" t="s">
        <v>23</v>
      </c>
      <c r="S14" s="6" t="n">
        <f aca="false">ROUND(H14/E14,2)</f>
        <v>205.3</v>
      </c>
    </row>
    <row r="15" customFormat="false" ht="15" hidden="false" customHeight="true" outlineLevel="0" collapsed="false">
      <c r="A15" s="4" t="n">
        <v>14</v>
      </c>
      <c r="B15" s="4" t="s">
        <v>47</v>
      </c>
      <c r="C15" s="4" t="s">
        <v>48</v>
      </c>
      <c r="D15" s="5" t="s">
        <v>32</v>
      </c>
      <c r="E15" s="5" t="n">
        <v>1</v>
      </c>
      <c r="F15" s="5" t="s">
        <v>22</v>
      </c>
      <c r="G15" s="6" t="n">
        <v>292</v>
      </c>
      <c r="H15" s="6" t="n">
        <v>210.34</v>
      </c>
      <c r="I15" s="7" t="n">
        <v>0.09</v>
      </c>
      <c r="J15" s="6" t="n">
        <f aca="false">ROUND(H15*I15,2)</f>
        <v>18.93</v>
      </c>
      <c r="K15" s="7" t="n">
        <v>0.09</v>
      </c>
      <c r="L15" s="6" t="n">
        <f aca="false">ROUND(H15*K15,2)</f>
        <v>18.93</v>
      </c>
      <c r="M15" s="6" t="n">
        <f aca="false">H15+J15+L15</f>
        <v>248.2</v>
      </c>
      <c r="N15" s="6" t="n">
        <f aca="false">G15*E15</f>
        <v>292</v>
      </c>
      <c r="O15" s="6" t="n">
        <f aca="false">ROUND(N15*0.85/1.18,2)</f>
        <v>210.34</v>
      </c>
      <c r="P15" s="6" t="n">
        <f aca="false">ROUND(O15-H15,2)</f>
        <v>0</v>
      </c>
      <c r="Q15" s="5" t="n">
        <v>1</v>
      </c>
      <c r="R15" s="5" t="s">
        <v>23</v>
      </c>
      <c r="S15" s="6" t="n">
        <f aca="false">ROUND(H15/E15,2)</f>
        <v>210.34</v>
      </c>
    </row>
    <row r="16" customFormat="false" ht="15" hidden="false" customHeight="true" outlineLevel="0" collapsed="false">
      <c r="A16" s="4" t="n">
        <v>15</v>
      </c>
      <c r="B16" s="4" t="s">
        <v>49</v>
      </c>
      <c r="C16" s="4" t="s">
        <v>50</v>
      </c>
      <c r="D16" s="5" t="s">
        <v>32</v>
      </c>
      <c r="E16" s="5" t="n">
        <v>2</v>
      </c>
      <c r="F16" s="5" t="s">
        <v>22</v>
      </c>
      <c r="G16" s="6" t="n">
        <v>138</v>
      </c>
      <c r="H16" s="6" t="n">
        <v>198.81</v>
      </c>
      <c r="I16" s="7" t="n">
        <v>0.09</v>
      </c>
      <c r="J16" s="6" t="n">
        <f aca="false">ROUND(H16*I16,2)</f>
        <v>17.89</v>
      </c>
      <c r="K16" s="7" t="n">
        <v>0.09</v>
      </c>
      <c r="L16" s="6" t="n">
        <f aca="false">ROUND(H16*K16,2)</f>
        <v>17.89</v>
      </c>
      <c r="M16" s="6" t="n">
        <f aca="false">H16+J16+L16</f>
        <v>234.59</v>
      </c>
      <c r="N16" s="6" t="n">
        <f aca="false">G16*E16</f>
        <v>276</v>
      </c>
      <c r="O16" s="6" t="n">
        <f aca="false">ROUND(N16*0.85/1.18,2)</f>
        <v>198.81</v>
      </c>
      <c r="P16" s="6" t="n">
        <f aca="false">ROUND(O16-H16,2)</f>
        <v>0</v>
      </c>
      <c r="Q16" s="5" t="n">
        <v>1</v>
      </c>
      <c r="R16" s="5" t="s">
        <v>23</v>
      </c>
      <c r="S16" s="6" t="n">
        <f aca="false">ROUND(H16/E16,2)</f>
        <v>99.41</v>
      </c>
    </row>
    <row r="17" customFormat="false" ht="15" hidden="false" customHeight="true" outlineLevel="0" collapsed="false">
      <c r="A17" s="4" t="n">
        <v>16</v>
      </c>
      <c r="B17" s="4" t="s">
        <v>51</v>
      </c>
      <c r="C17" s="4" t="s">
        <v>52</v>
      </c>
      <c r="D17" s="5" t="s">
        <v>53</v>
      </c>
      <c r="E17" s="5" t="n">
        <v>1</v>
      </c>
      <c r="F17" s="5" t="s">
        <v>22</v>
      </c>
      <c r="G17" s="6" t="n">
        <v>292</v>
      </c>
      <c r="H17" s="6" t="n">
        <v>210.34</v>
      </c>
      <c r="I17" s="7" t="n">
        <v>0.09</v>
      </c>
      <c r="J17" s="6" t="n">
        <f aca="false">ROUND(H17*I17,2)</f>
        <v>18.93</v>
      </c>
      <c r="K17" s="7" t="n">
        <v>0.09</v>
      </c>
      <c r="L17" s="6" t="n">
        <f aca="false">ROUND(H17*K17,2)</f>
        <v>18.93</v>
      </c>
      <c r="M17" s="6" t="n">
        <f aca="false">H17+J17+L17</f>
        <v>248.2</v>
      </c>
      <c r="N17" s="6" t="n">
        <f aca="false">G17*E17</f>
        <v>292</v>
      </c>
      <c r="O17" s="6" t="n">
        <f aca="false">ROUND(N17*0.85/1.18,2)</f>
        <v>210.34</v>
      </c>
      <c r="P17" s="6" t="n">
        <f aca="false">ROUND(O17-H17,2)</f>
        <v>0</v>
      </c>
      <c r="Q17" s="5" t="n">
        <v>1</v>
      </c>
      <c r="R17" s="5" t="s">
        <v>23</v>
      </c>
      <c r="S17" s="6" t="n">
        <f aca="false">ROUND(H17/E17,2)</f>
        <v>210.34</v>
      </c>
    </row>
    <row r="18" customFormat="false" ht="15" hidden="false" customHeight="true" outlineLevel="0" collapsed="false">
      <c r="A18" s="4" t="n">
        <v>17</v>
      </c>
      <c r="B18" s="4" t="s">
        <v>54</v>
      </c>
      <c r="C18" s="4" t="s">
        <v>55</v>
      </c>
      <c r="D18" s="5" t="s">
        <v>56</v>
      </c>
      <c r="E18" s="5" t="n">
        <v>1</v>
      </c>
      <c r="F18" s="5" t="s">
        <v>22</v>
      </c>
      <c r="G18" s="6" t="n">
        <v>212</v>
      </c>
      <c r="H18" s="6" t="n">
        <v>152.71</v>
      </c>
      <c r="I18" s="7" t="n">
        <v>0.09</v>
      </c>
      <c r="J18" s="6" t="n">
        <f aca="false">ROUND(H18*I18,2)</f>
        <v>13.74</v>
      </c>
      <c r="K18" s="7" t="n">
        <v>0.09</v>
      </c>
      <c r="L18" s="6" t="n">
        <f aca="false">ROUND(H18*K18,2)</f>
        <v>13.74</v>
      </c>
      <c r="M18" s="6" t="n">
        <f aca="false">H18+J18+L18</f>
        <v>180.19</v>
      </c>
      <c r="N18" s="6" t="n">
        <f aca="false">G18*E18</f>
        <v>212</v>
      </c>
      <c r="O18" s="6" t="n">
        <f aca="false">ROUND(N18*0.85/1.18,2)</f>
        <v>152.71</v>
      </c>
      <c r="P18" s="6" t="n">
        <f aca="false">ROUND(O18-H18,2)</f>
        <v>0</v>
      </c>
      <c r="Q18" s="5" t="n">
        <v>1</v>
      </c>
      <c r="R18" s="5" t="s">
        <v>23</v>
      </c>
      <c r="S18" s="6" t="n">
        <f aca="false">ROUND(H18/E18,2)</f>
        <v>152.71</v>
      </c>
    </row>
    <row r="19" customFormat="false" ht="15" hidden="false" customHeight="true" outlineLevel="0" collapsed="false">
      <c r="A19" s="4" t="n">
        <v>18</v>
      </c>
      <c r="B19" s="4" t="s">
        <v>57</v>
      </c>
      <c r="C19" s="4" t="s">
        <v>58</v>
      </c>
      <c r="D19" s="5" t="s">
        <v>53</v>
      </c>
      <c r="E19" s="5" t="n">
        <v>1</v>
      </c>
      <c r="F19" s="5" t="s">
        <v>22</v>
      </c>
      <c r="G19" s="6" t="n">
        <v>412</v>
      </c>
      <c r="H19" s="6" t="n">
        <v>296.78</v>
      </c>
      <c r="I19" s="7" t="n">
        <v>0.09</v>
      </c>
      <c r="J19" s="6" t="n">
        <f aca="false">ROUND(H19*I19,2)</f>
        <v>26.71</v>
      </c>
      <c r="K19" s="7" t="n">
        <v>0.09</v>
      </c>
      <c r="L19" s="6" t="n">
        <f aca="false">ROUND(H19*K19,2)</f>
        <v>26.71</v>
      </c>
      <c r="M19" s="6" t="n">
        <f aca="false">H19+J19+L19</f>
        <v>350.2</v>
      </c>
      <c r="N19" s="6" t="n">
        <f aca="false">G19*E19</f>
        <v>412</v>
      </c>
      <c r="O19" s="6" t="n">
        <f aca="false">ROUND(N19*0.85/1.18,2)</f>
        <v>296.78</v>
      </c>
      <c r="P19" s="6" t="n">
        <f aca="false">ROUND(O19-H19,2)</f>
        <v>0</v>
      </c>
      <c r="Q19" s="5" t="n">
        <v>1</v>
      </c>
      <c r="R19" s="5" t="s">
        <v>23</v>
      </c>
      <c r="S19" s="6" t="n">
        <f aca="false">ROUND(H19/E19,2)</f>
        <v>296.78</v>
      </c>
    </row>
    <row r="20" customFormat="false" ht="15" hidden="false" customHeight="true" outlineLevel="0" collapsed="false">
      <c r="A20" s="4" t="n">
        <v>19</v>
      </c>
      <c r="B20" s="4" t="s">
        <v>59</v>
      </c>
      <c r="C20" s="4" t="s">
        <v>60</v>
      </c>
      <c r="D20" s="5" t="s">
        <v>32</v>
      </c>
      <c r="E20" s="5" t="n">
        <v>2</v>
      </c>
      <c r="F20" s="5" t="s">
        <v>22</v>
      </c>
      <c r="G20" s="6" t="n">
        <v>689</v>
      </c>
      <c r="H20" s="6" t="n">
        <v>992.63</v>
      </c>
      <c r="I20" s="7" t="n">
        <v>0.09</v>
      </c>
      <c r="J20" s="6" t="n">
        <f aca="false">ROUND(H20*I20,2)</f>
        <v>89.34</v>
      </c>
      <c r="K20" s="7" t="n">
        <v>0.09</v>
      </c>
      <c r="L20" s="6" t="n">
        <f aca="false">ROUND(H20*K20,2)</f>
        <v>89.34</v>
      </c>
      <c r="M20" s="6" t="n">
        <f aca="false">H20+J20+L20</f>
        <v>1171.31</v>
      </c>
      <c r="N20" s="6" t="n">
        <f aca="false">G20*E20</f>
        <v>1378</v>
      </c>
      <c r="O20" s="6" t="n">
        <f aca="false">ROUND(N20*0.85/1.18,2)</f>
        <v>992.63</v>
      </c>
      <c r="P20" s="6" t="n">
        <f aca="false">ROUND(O20-H20,2)</f>
        <v>0</v>
      </c>
      <c r="Q20" s="5" t="n">
        <v>1</v>
      </c>
      <c r="R20" s="5" t="s">
        <v>23</v>
      </c>
      <c r="S20" s="6" t="n">
        <f aca="false">ROUND(H20/E20,2)</f>
        <v>496.32</v>
      </c>
    </row>
    <row r="21" customFormat="false" ht="15" hidden="false" customHeight="true" outlineLevel="0" collapsed="false">
      <c r="A21" s="4" t="n">
        <v>20</v>
      </c>
      <c r="B21" s="4" t="s">
        <v>61</v>
      </c>
      <c r="C21" s="4" t="s">
        <v>62</v>
      </c>
      <c r="D21" s="5" t="s">
        <v>21</v>
      </c>
      <c r="E21" s="5" t="n">
        <v>2</v>
      </c>
      <c r="F21" s="5" t="s">
        <v>22</v>
      </c>
      <c r="G21" s="6" t="n">
        <v>720</v>
      </c>
      <c r="H21" s="6" t="n">
        <v>1037.29</v>
      </c>
      <c r="I21" s="7" t="n">
        <v>0.09</v>
      </c>
      <c r="J21" s="6" t="n">
        <f aca="false">ROUND(H21*I21,2)</f>
        <v>93.36</v>
      </c>
      <c r="K21" s="7" t="n">
        <v>0.09</v>
      </c>
      <c r="L21" s="6" t="n">
        <f aca="false">ROUND(H21*K21,2)</f>
        <v>93.36</v>
      </c>
      <c r="M21" s="6" t="n">
        <f aca="false">H21+J21+L21</f>
        <v>1224.01</v>
      </c>
      <c r="N21" s="6" t="n">
        <f aca="false">G21*E21</f>
        <v>1440</v>
      </c>
      <c r="O21" s="6" t="n">
        <f aca="false">ROUND(N21*0.85/1.18,2)</f>
        <v>1037.29</v>
      </c>
      <c r="P21" s="6" t="n">
        <f aca="false">ROUND(O21-H21,2)</f>
        <v>0</v>
      </c>
      <c r="Q21" s="5" t="n">
        <v>1</v>
      </c>
      <c r="R21" s="5" t="s">
        <v>23</v>
      </c>
      <c r="S21" s="6" t="n">
        <f aca="false">ROUND(H21/E21,2)</f>
        <v>518.65</v>
      </c>
    </row>
    <row r="22" customFormat="false" ht="15" hidden="false" customHeight="true" outlineLevel="0" collapsed="false">
      <c r="A22" s="4" t="n">
        <v>21</v>
      </c>
      <c r="B22" s="4" t="s">
        <v>63</v>
      </c>
      <c r="C22" s="4" t="s">
        <v>64</v>
      </c>
      <c r="D22" s="5" t="s">
        <v>21</v>
      </c>
      <c r="E22" s="5" t="n">
        <v>6</v>
      </c>
      <c r="F22" s="5" t="s">
        <v>22</v>
      </c>
      <c r="G22" s="6" t="n">
        <v>447</v>
      </c>
      <c r="H22" s="6" t="n">
        <v>1931.95</v>
      </c>
      <c r="I22" s="7" t="n">
        <v>0.09</v>
      </c>
      <c r="J22" s="6" t="n">
        <f aca="false">ROUND(H22*I22,2)</f>
        <v>173.88</v>
      </c>
      <c r="K22" s="7" t="n">
        <v>0.09</v>
      </c>
      <c r="L22" s="6" t="n">
        <f aca="false">ROUND(H22*K22,2)</f>
        <v>173.88</v>
      </c>
      <c r="M22" s="6" t="n">
        <f aca="false">H22+J22+L22</f>
        <v>2279.71</v>
      </c>
      <c r="N22" s="6" t="n">
        <f aca="false">G22*E22</f>
        <v>2682</v>
      </c>
      <c r="O22" s="6" t="n">
        <f aca="false">ROUND(N22*0.85/1.18,2)</f>
        <v>1931.95</v>
      </c>
      <c r="P22" s="6" t="n">
        <f aca="false">ROUND(O22-H22,2)</f>
        <v>0</v>
      </c>
      <c r="Q22" s="5" t="n">
        <v>1</v>
      </c>
      <c r="R22" s="5" t="s">
        <v>23</v>
      </c>
      <c r="S22" s="6" t="n">
        <f aca="false">ROUND(H22/E22,2)</f>
        <v>321.99</v>
      </c>
    </row>
    <row r="23" customFormat="false" ht="15" hidden="false" customHeight="true" outlineLevel="0" collapsed="false">
      <c r="A23" s="4" t="n">
        <v>22</v>
      </c>
      <c r="B23" s="4" t="s">
        <v>65</v>
      </c>
      <c r="C23" s="4" t="s">
        <v>66</v>
      </c>
      <c r="D23" s="5" t="s">
        <v>21</v>
      </c>
      <c r="E23" s="5" t="n">
        <v>2</v>
      </c>
      <c r="F23" s="5" t="s">
        <v>22</v>
      </c>
      <c r="G23" s="6" t="n">
        <v>629</v>
      </c>
      <c r="H23" s="6" t="n">
        <v>906.19</v>
      </c>
      <c r="I23" s="7" t="n">
        <v>0.09</v>
      </c>
      <c r="J23" s="6" t="n">
        <f aca="false">ROUND(H23*I23,2)</f>
        <v>81.56</v>
      </c>
      <c r="K23" s="7" t="n">
        <v>0.09</v>
      </c>
      <c r="L23" s="6" t="n">
        <f aca="false">ROUND(H23*K23,2)</f>
        <v>81.56</v>
      </c>
      <c r="M23" s="6" t="n">
        <f aca="false">H23+J23+L23</f>
        <v>1069.31</v>
      </c>
      <c r="N23" s="6" t="n">
        <f aca="false">G23*E23</f>
        <v>1258</v>
      </c>
      <c r="O23" s="6" t="n">
        <f aca="false">ROUND(N23*0.85/1.18,2)</f>
        <v>906.19</v>
      </c>
      <c r="P23" s="6" t="n">
        <f aca="false">ROUND(O23-H23,2)</f>
        <v>0</v>
      </c>
      <c r="Q23" s="5" t="n">
        <v>1</v>
      </c>
      <c r="R23" s="5" t="s">
        <v>23</v>
      </c>
      <c r="S23" s="6" t="n">
        <f aca="false">ROUND(H23/E23,2)</f>
        <v>453.1</v>
      </c>
    </row>
    <row r="24" customFormat="false" ht="15" hidden="false" customHeight="true" outlineLevel="0" collapsed="false">
      <c r="A24" s="4" t="n">
        <v>23</v>
      </c>
      <c r="B24" s="4" t="s">
        <v>67</v>
      </c>
      <c r="C24" s="4" t="s">
        <v>68</v>
      </c>
      <c r="D24" s="5" t="s">
        <v>21</v>
      </c>
      <c r="E24" s="5" t="n">
        <v>2</v>
      </c>
      <c r="F24" s="5" t="s">
        <v>22</v>
      </c>
      <c r="G24" s="6" t="n">
        <v>257</v>
      </c>
      <c r="H24" s="6" t="n">
        <v>370.25</v>
      </c>
      <c r="I24" s="7" t="n">
        <v>0.09</v>
      </c>
      <c r="J24" s="6" t="n">
        <f aca="false">ROUND(H24*I24,2)</f>
        <v>33.32</v>
      </c>
      <c r="K24" s="7" t="n">
        <v>0.09</v>
      </c>
      <c r="L24" s="6" t="n">
        <f aca="false">ROUND(H24*K24,2)</f>
        <v>33.32</v>
      </c>
      <c r="M24" s="6" t="n">
        <f aca="false">H24+J24+L24</f>
        <v>436.89</v>
      </c>
      <c r="N24" s="6" t="n">
        <f aca="false">G24*E24</f>
        <v>514</v>
      </c>
      <c r="O24" s="6" t="n">
        <f aca="false">ROUND(N24*0.85/1.18,2)</f>
        <v>370.25</v>
      </c>
      <c r="P24" s="6" t="n">
        <f aca="false">ROUND(O24-H24,2)</f>
        <v>0</v>
      </c>
      <c r="Q24" s="5" t="n">
        <v>1</v>
      </c>
      <c r="R24" s="5" t="s">
        <v>23</v>
      </c>
      <c r="S24" s="6" t="n">
        <f aca="false">ROUND(H24/E24,2)</f>
        <v>185.13</v>
      </c>
    </row>
    <row r="25" customFormat="false" ht="15" hidden="false" customHeight="true" outlineLevel="0" collapsed="false">
      <c r="A25" s="4" t="n">
        <v>24</v>
      </c>
      <c r="B25" s="4" t="s">
        <v>69</v>
      </c>
      <c r="C25" s="4" t="s">
        <v>70</v>
      </c>
      <c r="D25" s="5" t="s">
        <v>21</v>
      </c>
      <c r="E25" s="5" t="n">
        <v>2</v>
      </c>
      <c r="F25" s="5" t="s">
        <v>22</v>
      </c>
      <c r="G25" s="6" t="n">
        <v>294</v>
      </c>
      <c r="H25" s="6" t="n">
        <v>423.56</v>
      </c>
      <c r="I25" s="7" t="n">
        <v>0.09</v>
      </c>
      <c r="J25" s="6" t="n">
        <f aca="false">ROUND(H25*I25,2)</f>
        <v>38.12</v>
      </c>
      <c r="K25" s="7" t="n">
        <v>0.09</v>
      </c>
      <c r="L25" s="6" t="n">
        <f aca="false">ROUND(H25*K25,2)</f>
        <v>38.12</v>
      </c>
      <c r="M25" s="6" t="n">
        <f aca="false">H25+J25+L25</f>
        <v>499.8</v>
      </c>
      <c r="N25" s="6" t="n">
        <f aca="false">G25*E25</f>
        <v>588</v>
      </c>
      <c r="O25" s="6" t="n">
        <f aca="false">ROUND(N25*0.85/1.18,2)</f>
        <v>423.56</v>
      </c>
      <c r="P25" s="6" t="n">
        <f aca="false">ROUND(O25-H25,2)</f>
        <v>0</v>
      </c>
      <c r="Q25" s="5" t="n">
        <v>1</v>
      </c>
      <c r="R25" s="5" t="s">
        <v>23</v>
      </c>
      <c r="S25" s="6" t="n">
        <f aca="false">ROUND(H25/E25,2)</f>
        <v>211.78</v>
      </c>
    </row>
    <row r="26" customFormat="false" ht="15" hidden="false" customHeight="true" outlineLevel="0" collapsed="false">
      <c r="A26" s="4" t="n">
        <v>25</v>
      </c>
      <c r="B26" s="4" t="s">
        <v>71</v>
      </c>
      <c r="C26" s="4" t="s">
        <v>72</v>
      </c>
      <c r="D26" s="5" t="s">
        <v>73</v>
      </c>
      <c r="E26" s="5" t="n">
        <v>5</v>
      </c>
      <c r="F26" s="5" t="s">
        <v>22</v>
      </c>
      <c r="G26" s="6" t="n">
        <v>83</v>
      </c>
      <c r="H26" s="6" t="n">
        <v>298.94</v>
      </c>
      <c r="I26" s="7" t="n">
        <v>0.09</v>
      </c>
      <c r="J26" s="6" t="n">
        <f aca="false">ROUND(H26*I26,2)</f>
        <v>26.9</v>
      </c>
      <c r="K26" s="7" t="n">
        <v>0.09</v>
      </c>
      <c r="L26" s="6" t="n">
        <f aca="false">ROUND(H26*K26,2)</f>
        <v>26.9</v>
      </c>
      <c r="M26" s="6" t="n">
        <f aca="false">H26+J26+L26</f>
        <v>352.74</v>
      </c>
      <c r="N26" s="6" t="n">
        <f aca="false">G26*E26</f>
        <v>415</v>
      </c>
      <c r="O26" s="6" t="n">
        <f aca="false">ROUND(N26*0.85/1.18,2)</f>
        <v>298.94</v>
      </c>
      <c r="P26" s="6" t="n">
        <f aca="false">ROUND(O26-H26,2)</f>
        <v>0</v>
      </c>
      <c r="Q26" s="5" t="n">
        <v>1</v>
      </c>
      <c r="R26" s="5" t="s">
        <v>23</v>
      </c>
      <c r="S26" s="6" t="n">
        <f aca="false">ROUND(H26/E26,2)</f>
        <v>59.79</v>
      </c>
    </row>
    <row r="27" customFormat="false" ht="15" hidden="false" customHeight="true" outlineLevel="0" collapsed="false">
      <c r="A27" s="4" t="n">
        <v>26</v>
      </c>
      <c r="B27" s="4" t="s">
        <v>74</v>
      </c>
      <c r="C27" s="4" t="s">
        <v>75</v>
      </c>
      <c r="D27" s="5" t="s">
        <v>21</v>
      </c>
      <c r="E27" s="5" t="n">
        <v>9</v>
      </c>
      <c r="F27" s="5" t="s">
        <v>22</v>
      </c>
      <c r="G27" s="6" t="n">
        <v>72</v>
      </c>
      <c r="H27" s="6" t="n">
        <v>466.78</v>
      </c>
      <c r="I27" s="7" t="n">
        <v>0.09</v>
      </c>
      <c r="J27" s="6" t="n">
        <f aca="false">ROUND(H27*I27,2)</f>
        <v>42.01</v>
      </c>
      <c r="K27" s="7" t="n">
        <v>0.09</v>
      </c>
      <c r="L27" s="6" t="n">
        <f aca="false">ROUND(H27*K27,2)</f>
        <v>42.01</v>
      </c>
      <c r="M27" s="6" t="n">
        <f aca="false">H27+J27+L27</f>
        <v>550.8</v>
      </c>
      <c r="N27" s="6" t="n">
        <f aca="false">G27*E27</f>
        <v>648</v>
      </c>
      <c r="O27" s="6" t="n">
        <f aca="false">ROUND(N27*0.85/1.18,2)</f>
        <v>466.78</v>
      </c>
      <c r="P27" s="6" t="n">
        <f aca="false">ROUND(O27-H27,2)</f>
        <v>0</v>
      </c>
      <c r="Q27" s="5" t="n">
        <v>1</v>
      </c>
      <c r="R27" s="5" t="s">
        <v>23</v>
      </c>
      <c r="S27" s="6" t="n">
        <f aca="false">ROUND(H27/E27,2)</f>
        <v>51.86</v>
      </c>
    </row>
    <row r="28" customFormat="false" ht="15" hidden="false" customHeight="true" outlineLevel="0" collapsed="false">
      <c r="A28" s="4" t="n">
        <v>27</v>
      </c>
      <c r="B28" s="4" t="s">
        <v>76</v>
      </c>
      <c r="C28" s="4" t="s">
        <v>77</v>
      </c>
      <c r="D28" s="5" t="s">
        <v>73</v>
      </c>
      <c r="E28" s="5" t="n">
        <v>2</v>
      </c>
      <c r="F28" s="5" t="s">
        <v>22</v>
      </c>
      <c r="G28" s="6" t="n">
        <v>696</v>
      </c>
      <c r="H28" s="6" t="n">
        <v>1002.71</v>
      </c>
      <c r="I28" s="7" t="n">
        <v>0.09</v>
      </c>
      <c r="J28" s="6" t="n">
        <f aca="false">ROUND(H28*I28,2)</f>
        <v>90.24</v>
      </c>
      <c r="K28" s="7" t="n">
        <v>0.09</v>
      </c>
      <c r="L28" s="6" t="n">
        <f aca="false">ROUND(H28*K28,2)</f>
        <v>90.24</v>
      </c>
      <c r="M28" s="6" t="n">
        <f aca="false">H28+J28+L28</f>
        <v>1183.19</v>
      </c>
      <c r="N28" s="6" t="n">
        <f aca="false">G28*E28</f>
        <v>1392</v>
      </c>
      <c r="O28" s="6" t="n">
        <f aca="false">ROUND(N28*0.85/1.18,2)</f>
        <v>1002.71</v>
      </c>
      <c r="P28" s="6" t="n">
        <f aca="false">ROUND(O28-H28,2)</f>
        <v>0</v>
      </c>
      <c r="Q28" s="5" t="n">
        <v>1</v>
      </c>
      <c r="R28" s="5" t="s">
        <v>23</v>
      </c>
      <c r="S28" s="6" t="n">
        <f aca="false">ROUND(H28/E28,2)</f>
        <v>501.36</v>
      </c>
    </row>
    <row r="29" customFormat="false" ht="15" hidden="false" customHeight="true" outlineLevel="0" collapsed="false">
      <c r="A29" s="4" t="n">
        <v>28</v>
      </c>
      <c r="B29" s="4" t="s">
        <v>78</v>
      </c>
      <c r="C29" s="4" t="s">
        <v>79</v>
      </c>
      <c r="D29" s="5" t="s">
        <v>21</v>
      </c>
      <c r="E29" s="5" t="n">
        <v>4</v>
      </c>
      <c r="F29" s="5" t="s">
        <v>22</v>
      </c>
      <c r="G29" s="6" t="n">
        <v>75</v>
      </c>
      <c r="H29" s="6" t="n">
        <v>216.1</v>
      </c>
      <c r="I29" s="7" t="n">
        <v>0.09</v>
      </c>
      <c r="J29" s="6" t="n">
        <f aca="false">ROUND(H29*I29,2)</f>
        <v>19.45</v>
      </c>
      <c r="K29" s="7" t="n">
        <v>0.09</v>
      </c>
      <c r="L29" s="6" t="n">
        <f aca="false">ROUND(H29*K29,2)</f>
        <v>19.45</v>
      </c>
      <c r="M29" s="6" t="n">
        <f aca="false">H29+J29+L29</f>
        <v>255</v>
      </c>
      <c r="N29" s="6" t="n">
        <f aca="false">G29*E29</f>
        <v>300</v>
      </c>
      <c r="O29" s="6" t="n">
        <f aca="false">ROUND(N29*0.85/1.18,2)</f>
        <v>216.1</v>
      </c>
      <c r="P29" s="6" t="n">
        <f aca="false">ROUND(O29-H29,2)</f>
        <v>0</v>
      </c>
      <c r="Q29" s="5" t="n">
        <v>1</v>
      </c>
      <c r="R29" s="5" t="s">
        <v>23</v>
      </c>
      <c r="S29" s="6" t="n">
        <f aca="false">ROUND(H29/E29,2)</f>
        <v>54.03</v>
      </c>
    </row>
    <row r="30" customFormat="false" ht="15" hidden="false" customHeight="true" outlineLevel="0" collapsed="false">
      <c r="A30" s="4" t="n">
        <v>29</v>
      </c>
      <c r="B30" s="4" t="s">
        <v>80</v>
      </c>
      <c r="C30" s="4" t="s">
        <v>81</v>
      </c>
      <c r="D30" s="5" t="s">
        <v>82</v>
      </c>
      <c r="E30" s="5" t="n">
        <v>1</v>
      </c>
      <c r="F30" s="5" t="s">
        <v>22</v>
      </c>
      <c r="G30" s="6" t="n">
        <v>1249</v>
      </c>
      <c r="H30" s="6" t="n">
        <v>899.7</v>
      </c>
      <c r="I30" s="7" t="n">
        <v>0.09</v>
      </c>
      <c r="J30" s="6" t="n">
        <f aca="false">ROUND(H30*I30,2)</f>
        <v>80.97</v>
      </c>
      <c r="K30" s="7" t="n">
        <v>0.09</v>
      </c>
      <c r="L30" s="6" t="n">
        <f aca="false">ROUND(H30*K30,2)</f>
        <v>80.97</v>
      </c>
      <c r="M30" s="6" t="n">
        <f aca="false">H30+J30+L30</f>
        <v>1061.64</v>
      </c>
      <c r="N30" s="6" t="n">
        <f aca="false">G30*E30</f>
        <v>1249</v>
      </c>
      <c r="O30" s="6" t="n">
        <f aca="false">ROUND(N30*0.85/1.18,2)</f>
        <v>899.7</v>
      </c>
      <c r="P30" s="6" t="n">
        <f aca="false">ROUND(O30-H30,2)</f>
        <v>0</v>
      </c>
      <c r="Q30" s="5" t="n">
        <v>1</v>
      </c>
      <c r="R30" s="5" t="s">
        <v>23</v>
      </c>
      <c r="S30" s="6" t="n">
        <f aca="false">ROUND(H30/E30,2)</f>
        <v>899.7</v>
      </c>
    </row>
    <row r="31" customFormat="false" ht="15" hidden="false" customHeight="true" outlineLevel="0" collapsed="false">
      <c r="A31" s="4" t="n">
        <v>30</v>
      </c>
      <c r="B31" s="4" t="s">
        <v>83</v>
      </c>
      <c r="C31" s="4" t="s">
        <v>84</v>
      </c>
      <c r="D31" s="5" t="s">
        <v>21</v>
      </c>
      <c r="E31" s="5" t="n">
        <v>5</v>
      </c>
      <c r="F31" s="5" t="s">
        <v>22</v>
      </c>
      <c r="G31" s="6" t="n">
        <v>75</v>
      </c>
      <c r="H31" s="6" t="n">
        <v>270.13</v>
      </c>
      <c r="I31" s="7" t="n">
        <v>0.09</v>
      </c>
      <c r="J31" s="6" t="n">
        <f aca="false">ROUND(H31*I31,2)</f>
        <v>24.31</v>
      </c>
      <c r="K31" s="7" t="n">
        <v>0.09</v>
      </c>
      <c r="L31" s="6" t="n">
        <f aca="false">ROUND(H31*K31,2)</f>
        <v>24.31</v>
      </c>
      <c r="M31" s="6" t="n">
        <f aca="false">H31+J31+L31</f>
        <v>318.75</v>
      </c>
      <c r="N31" s="6" t="n">
        <f aca="false">G31*E31</f>
        <v>375</v>
      </c>
      <c r="O31" s="6" t="n">
        <f aca="false">ROUND(N31*0.85/1.18,2)</f>
        <v>270.13</v>
      </c>
      <c r="P31" s="6" t="n">
        <f aca="false">ROUND(O31-H31,2)</f>
        <v>0</v>
      </c>
      <c r="Q31" s="5" t="n">
        <v>1</v>
      </c>
      <c r="R31" s="5" t="s">
        <v>23</v>
      </c>
      <c r="S31" s="6" t="n">
        <f aca="false">ROUND(H31/E31,2)</f>
        <v>54.03</v>
      </c>
    </row>
    <row r="32" customFormat="false" ht="15" hidden="false" customHeight="true" outlineLevel="0" collapsed="false">
      <c r="A32" s="4" t="n">
        <v>31</v>
      </c>
      <c r="B32" s="4" t="s">
        <v>85</v>
      </c>
      <c r="C32" s="4" t="s">
        <v>86</v>
      </c>
      <c r="D32" s="5" t="s">
        <v>87</v>
      </c>
      <c r="E32" s="5" t="n">
        <v>10</v>
      </c>
      <c r="F32" s="5" t="s">
        <v>22</v>
      </c>
      <c r="G32" s="6" t="n">
        <v>70</v>
      </c>
      <c r="H32" s="6" t="n">
        <v>504.24</v>
      </c>
      <c r="I32" s="7" t="n">
        <v>0.09</v>
      </c>
      <c r="J32" s="6" t="n">
        <f aca="false">ROUND(H32*I32,2)</f>
        <v>45.38</v>
      </c>
      <c r="K32" s="7" t="n">
        <v>0.09</v>
      </c>
      <c r="L32" s="6" t="n">
        <f aca="false">ROUND(H32*K32,2)</f>
        <v>45.38</v>
      </c>
      <c r="M32" s="6" t="n">
        <f aca="false">H32+J32+L32</f>
        <v>595</v>
      </c>
      <c r="N32" s="6" t="n">
        <f aca="false">G32*E32</f>
        <v>700</v>
      </c>
      <c r="O32" s="6" t="n">
        <f aca="false">ROUND(N32*0.85/1.18,2)</f>
        <v>504.24</v>
      </c>
      <c r="P32" s="6" t="n">
        <f aca="false">ROUND(O32-H32,2)</f>
        <v>0</v>
      </c>
      <c r="Q32" s="5" t="n">
        <v>1</v>
      </c>
      <c r="R32" s="5" t="s">
        <v>23</v>
      </c>
      <c r="S32" s="6" t="n">
        <f aca="false">ROUND(H32/E32,2)</f>
        <v>50.42</v>
      </c>
    </row>
    <row r="33" customFormat="false" ht="15" hidden="false" customHeight="true" outlineLevel="0" collapsed="false">
      <c r="A33" s="4" t="n">
        <v>32</v>
      </c>
      <c r="B33" s="4" t="s">
        <v>88</v>
      </c>
      <c r="C33" s="4" t="s">
        <v>89</v>
      </c>
      <c r="D33" s="5" t="s">
        <v>21</v>
      </c>
      <c r="E33" s="5" t="n">
        <v>2</v>
      </c>
      <c r="F33" s="5" t="s">
        <v>22</v>
      </c>
      <c r="G33" s="6" t="n">
        <v>477</v>
      </c>
      <c r="H33" s="6" t="n">
        <v>687.2</v>
      </c>
      <c r="I33" s="7" t="n">
        <v>0.09</v>
      </c>
      <c r="J33" s="6" t="n">
        <f aca="false">ROUND(H33*I33,2)</f>
        <v>61.85</v>
      </c>
      <c r="K33" s="7" t="n">
        <v>0.09</v>
      </c>
      <c r="L33" s="6" t="n">
        <f aca="false">ROUND(H33*K33,2)</f>
        <v>61.85</v>
      </c>
      <c r="M33" s="6" t="n">
        <f aca="false">H33+J33+L33</f>
        <v>810.9</v>
      </c>
      <c r="N33" s="6" t="n">
        <f aca="false">G33*E33</f>
        <v>954</v>
      </c>
      <c r="O33" s="6" t="n">
        <f aca="false">ROUND(N33*0.85/1.18,2)</f>
        <v>687.2</v>
      </c>
      <c r="P33" s="6" t="n">
        <f aca="false">ROUND(O33-H33,2)</f>
        <v>0</v>
      </c>
      <c r="Q33" s="5" t="n">
        <v>1</v>
      </c>
      <c r="R33" s="5" t="s">
        <v>23</v>
      </c>
      <c r="S33" s="6" t="n">
        <f aca="false">ROUND(H33/E33,2)</f>
        <v>343.6</v>
      </c>
    </row>
    <row r="34" customFormat="false" ht="15" hidden="false" customHeight="true" outlineLevel="0" collapsed="false">
      <c r="A34" s="4" t="n">
        <v>33</v>
      </c>
      <c r="B34" s="4" t="s">
        <v>90</v>
      </c>
      <c r="C34" s="4" t="s">
        <v>91</v>
      </c>
      <c r="D34" s="5" t="s">
        <v>21</v>
      </c>
      <c r="E34" s="5" t="n">
        <v>2</v>
      </c>
      <c r="F34" s="5" t="s">
        <v>22</v>
      </c>
      <c r="G34" s="6" t="n">
        <v>686</v>
      </c>
      <c r="H34" s="6" t="n">
        <v>988.31</v>
      </c>
      <c r="I34" s="7" t="n">
        <v>0.09</v>
      </c>
      <c r="J34" s="6" t="n">
        <f aca="false">ROUND(H34*I34,2)</f>
        <v>88.95</v>
      </c>
      <c r="K34" s="7" t="n">
        <v>0.09</v>
      </c>
      <c r="L34" s="6" t="n">
        <f aca="false">ROUND(H34*K34,2)</f>
        <v>88.95</v>
      </c>
      <c r="M34" s="6" t="n">
        <f aca="false">H34+J34+L34</f>
        <v>1166.21</v>
      </c>
      <c r="N34" s="6" t="n">
        <f aca="false">G34*E34</f>
        <v>1372</v>
      </c>
      <c r="O34" s="6" t="n">
        <f aca="false">ROUND(N34*0.85/1.18,2)</f>
        <v>988.31</v>
      </c>
      <c r="P34" s="6" t="n">
        <f aca="false">ROUND(O34-H34,2)</f>
        <v>0</v>
      </c>
      <c r="Q34" s="5" t="n">
        <v>2</v>
      </c>
      <c r="R34" s="5" t="s">
        <v>23</v>
      </c>
      <c r="S34" s="6" t="n">
        <f aca="false">ROUND(H34/E34,2)</f>
        <v>494.16</v>
      </c>
    </row>
    <row r="35" customFormat="false" ht="15" hidden="false" customHeight="true" outlineLevel="0" collapsed="false">
      <c r="A35" s="4" t="n">
        <v>34</v>
      </c>
      <c r="B35" s="4" t="s">
        <v>92</v>
      </c>
      <c r="C35" s="4" t="s">
        <v>93</v>
      </c>
      <c r="D35" s="5" t="s">
        <v>94</v>
      </c>
      <c r="E35" s="5" t="n">
        <v>5</v>
      </c>
      <c r="F35" s="5" t="s">
        <v>22</v>
      </c>
      <c r="G35" s="6" t="n">
        <v>161</v>
      </c>
      <c r="H35" s="6" t="n">
        <v>579.87</v>
      </c>
      <c r="I35" s="7" t="n">
        <v>0.09</v>
      </c>
      <c r="J35" s="6" t="n">
        <f aca="false">ROUND(H35*I35,2)</f>
        <v>52.19</v>
      </c>
      <c r="K35" s="7" t="n">
        <v>0.09</v>
      </c>
      <c r="L35" s="6" t="n">
        <f aca="false">ROUND(H35*K35,2)</f>
        <v>52.19</v>
      </c>
      <c r="M35" s="6" t="n">
        <f aca="false">H35+J35+L35</f>
        <v>684.25</v>
      </c>
      <c r="N35" s="6" t="n">
        <f aca="false">G35*E35</f>
        <v>805</v>
      </c>
      <c r="O35" s="6" t="n">
        <f aca="false">ROUND(N35*0.85/1.18,2)</f>
        <v>579.87</v>
      </c>
      <c r="P35" s="6" t="n">
        <f aca="false">ROUND(O35-H35,2)</f>
        <v>0</v>
      </c>
      <c r="Q35" s="5" t="n">
        <v>2</v>
      </c>
      <c r="R35" s="5" t="s">
        <v>23</v>
      </c>
      <c r="S35" s="6" t="n">
        <f aca="false">ROUND(H35/E35,2)</f>
        <v>115.97</v>
      </c>
    </row>
    <row r="36" customFormat="false" ht="15" hidden="false" customHeight="true" outlineLevel="0" collapsed="false">
      <c r="A36" s="4" t="n">
        <v>35</v>
      </c>
      <c r="B36" s="4" t="s">
        <v>95</v>
      </c>
      <c r="C36" s="4" t="s">
        <v>96</v>
      </c>
      <c r="D36" s="5" t="s">
        <v>97</v>
      </c>
      <c r="E36" s="5" t="n">
        <v>2</v>
      </c>
      <c r="F36" s="5" t="s">
        <v>22</v>
      </c>
      <c r="G36" s="6" t="n">
        <v>66</v>
      </c>
      <c r="H36" s="6" t="n">
        <v>95.08</v>
      </c>
      <c r="I36" s="7" t="n">
        <v>0.09</v>
      </c>
      <c r="J36" s="6" t="n">
        <f aca="false">ROUND(H36*I36,2)</f>
        <v>8.56</v>
      </c>
      <c r="K36" s="7" t="n">
        <v>0.09</v>
      </c>
      <c r="L36" s="6" t="n">
        <f aca="false">ROUND(H36*K36,2)</f>
        <v>8.56</v>
      </c>
      <c r="M36" s="6" t="n">
        <f aca="false">H36+J36+L36</f>
        <v>112.2</v>
      </c>
      <c r="N36" s="6" t="n">
        <f aca="false">G36*E36</f>
        <v>132</v>
      </c>
      <c r="O36" s="6" t="n">
        <f aca="false">ROUND(N36*0.85/1.18,2)</f>
        <v>95.08</v>
      </c>
      <c r="P36" s="6" t="n">
        <f aca="false">ROUND(O36-H36,2)</f>
        <v>0</v>
      </c>
      <c r="Q36" s="5" t="n">
        <v>2</v>
      </c>
      <c r="R36" s="5" t="s">
        <v>23</v>
      </c>
      <c r="S36" s="6" t="n">
        <f aca="false">ROUND(H36/E36,2)</f>
        <v>47.54</v>
      </c>
    </row>
    <row r="37" customFormat="false" ht="15" hidden="false" customHeight="true" outlineLevel="0" collapsed="false">
      <c r="A37" s="4" t="n">
        <v>36</v>
      </c>
      <c r="B37" s="4" t="s">
        <v>98</v>
      </c>
      <c r="C37" s="4" t="s">
        <v>99</v>
      </c>
      <c r="D37" s="5" t="s">
        <v>100</v>
      </c>
      <c r="E37" s="5" t="n">
        <v>1</v>
      </c>
      <c r="F37" s="5" t="s">
        <v>22</v>
      </c>
      <c r="G37" s="6" t="n">
        <v>1190</v>
      </c>
      <c r="H37" s="6" t="n">
        <v>857.2</v>
      </c>
      <c r="I37" s="7" t="n">
        <v>0.09</v>
      </c>
      <c r="J37" s="6" t="n">
        <f aca="false">ROUND(H37*I37,2)</f>
        <v>77.15</v>
      </c>
      <c r="K37" s="7" t="n">
        <v>0.09</v>
      </c>
      <c r="L37" s="6" t="n">
        <f aca="false">ROUND(H37*K37,2)</f>
        <v>77.15</v>
      </c>
      <c r="M37" s="6" t="n">
        <f aca="false">H37+J37+L37</f>
        <v>1011.5</v>
      </c>
      <c r="N37" s="6" t="n">
        <f aca="false">G37*E37</f>
        <v>1190</v>
      </c>
      <c r="O37" s="6" t="n">
        <f aca="false">ROUND(N37*0.85/1.18,2)</f>
        <v>857.2</v>
      </c>
      <c r="P37" s="6" t="n">
        <f aca="false">ROUND(O37-H37,2)</f>
        <v>0</v>
      </c>
      <c r="Q37" s="5" t="n">
        <v>2</v>
      </c>
      <c r="R37" s="5" t="s">
        <v>23</v>
      </c>
      <c r="S37" s="6" t="n">
        <f aca="false">ROUND(H37/E37,2)</f>
        <v>857.2</v>
      </c>
    </row>
    <row r="38" customFormat="false" ht="15" hidden="false" customHeight="true" outlineLevel="0" collapsed="false">
      <c r="A38" s="4" t="n">
        <v>37</v>
      </c>
      <c r="B38" s="4" t="s">
        <v>101</v>
      </c>
      <c r="C38" s="4" t="s">
        <v>102</v>
      </c>
      <c r="D38" s="5" t="s">
        <v>100</v>
      </c>
      <c r="E38" s="5" t="n">
        <v>1</v>
      </c>
      <c r="F38" s="5" t="s">
        <v>22</v>
      </c>
      <c r="G38" s="6" t="n">
        <v>1125</v>
      </c>
      <c r="H38" s="6" t="n">
        <v>810.38</v>
      </c>
      <c r="I38" s="7" t="n">
        <v>0.09</v>
      </c>
      <c r="J38" s="6" t="n">
        <f aca="false">ROUND(H38*I38,2)</f>
        <v>72.93</v>
      </c>
      <c r="K38" s="7" t="n">
        <v>0.09</v>
      </c>
      <c r="L38" s="6" t="n">
        <f aca="false">ROUND(H38*K38,2)</f>
        <v>72.93</v>
      </c>
      <c r="M38" s="6" t="n">
        <f aca="false">H38+J38+L38</f>
        <v>956.24</v>
      </c>
      <c r="N38" s="6" t="n">
        <f aca="false">G38*E38</f>
        <v>1125</v>
      </c>
      <c r="O38" s="6" t="n">
        <f aca="false">ROUND(N38*0.85/1.18,2)</f>
        <v>810.38</v>
      </c>
      <c r="P38" s="6" t="n">
        <f aca="false">ROUND(O38-H38,2)</f>
        <v>0</v>
      </c>
      <c r="Q38" s="5" t="n">
        <v>2</v>
      </c>
      <c r="R38" s="5" t="s">
        <v>23</v>
      </c>
      <c r="S38" s="6" t="n">
        <f aca="false">ROUND(H38/E38,2)</f>
        <v>810.38</v>
      </c>
    </row>
    <row r="39" customFormat="false" ht="15" hidden="false" customHeight="true" outlineLevel="0" collapsed="false">
      <c r="A39" s="4" t="n">
        <v>38</v>
      </c>
      <c r="B39" s="4" t="s">
        <v>103</v>
      </c>
      <c r="C39" s="4" t="s">
        <v>104</v>
      </c>
      <c r="D39" s="5" t="s">
        <v>21</v>
      </c>
      <c r="E39" s="5" t="n">
        <v>2</v>
      </c>
      <c r="F39" s="5" t="s">
        <v>22</v>
      </c>
      <c r="G39" s="6" t="n">
        <v>1116</v>
      </c>
      <c r="H39" s="6" t="n">
        <v>1607.8</v>
      </c>
      <c r="I39" s="7" t="n">
        <v>0.09</v>
      </c>
      <c r="J39" s="6" t="n">
        <f aca="false">ROUND(H39*I39,2)</f>
        <v>144.7</v>
      </c>
      <c r="K39" s="7" t="n">
        <v>0.09</v>
      </c>
      <c r="L39" s="6" t="n">
        <f aca="false">ROUND(H39*K39,2)</f>
        <v>144.7</v>
      </c>
      <c r="M39" s="6" t="n">
        <f aca="false">H39+J39+L39</f>
        <v>1897.2</v>
      </c>
      <c r="N39" s="6" t="n">
        <f aca="false">G39*E39</f>
        <v>2232</v>
      </c>
      <c r="O39" s="6" t="n">
        <f aca="false">ROUND(N39*0.85/1.18,2)</f>
        <v>1607.8</v>
      </c>
      <c r="P39" s="6" t="n">
        <f aca="false">ROUND(O39-H39,2)</f>
        <v>0</v>
      </c>
      <c r="Q39" s="5" t="n">
        <v>2</v>
      </c>
      <c r="R39" s="5" t="s">
        <v>23</v>
      </c>
      <c r="S39" s="6" t="n">
        <f aca="false">ROUND(H39/E39,2)</f>
        <v>803.9</v>
      </c>
    </row>
    <row r="40" customFormat="false" ht="15" hidden="false" customHeight="true" outlineLevel="0" collapsed="false">
      <c r="A40" s="4" t="n">
        <v>39</v>
      </c>
      <c r="B40" s="4" t="s">
        <v>105</v>
      </c>
      <c r="C40" s="4" t="s">
        <v>106</v>
      </c>
      <c r="D40" s="5" t="s">
        <v>21</v>
      </c>
      <c r="E40" s="5" t="n">
        <v>10</v>
      </c>
      <c r="F40" s="5" t="s">
        <v>22</v>
      </c>
      <c r="G40" s="6" t="n">
        <v>48</v>
      </c>
      <c r="H40" s="6" t="n">
        <v>345.76</v>
      </c>
      <c r="I40" s="7" t="n">
        <v>0.09</v>
      </c>
      <c r="J40" s="6" t="n">
        <f aca="false">ROUND(H40*I40,2)</f>
        <v>31.12</v>
      </c>
      <c r="K40" s="7" t="n">
        <v>0.09</v>
      </c>
      <c r="L40" s="6" t="n">
        <f aca="false">ROUND(H40*K40,2)</f>
        <v>31.12</v>
      </c>
      <c r="M40" s="6" t="n">
        <f aca="false">H40+J40+L40</f>
        <v>408</v>
      </c>
      <c r="N40" s="6" t="n">
        <f aca="false">G40*E40</f>
        <v>480</v>
      </c>
      <c r="O40" s="6" t="n">
        <f aca="false">ROUND(N40*0.85/1.18,2)</f>
        <v>345.76</v>
      </c>
      <c r="P40" s="6" t="n">
        <f aca="false">ROUND(O40-H40,2)</f>
        <v>0</v>
      </c>
      <c r="Q40" s="5" t="n">
        <v>2</v>
      </c>
      <c r="R40" s="5" t="s">
        <v>23</v>
      </c>
      <c r="S40" s="6" t="n">
        <f aca="false">ROUND(H40/E40,2)</f>
        <v>34.58</v>
      </c>
    </row>
    <row r="41" customFormat="false" ht="15" hidden="false" customHeight="true" outlineLevel="0" collapsed="false">
      <c r="A41" s="4" t="n">
        <v>40</v>
      </c>
      <c r="B41" s="4" t="s">
        <v>107</v>
      </c>
      <c r="C41" s="4" t="s">
        <v>108</v>
      </c>
      <c r="D41" s="5" t="s">
        <v>21</v>
      </c>
      <c r="E41" s="5" t="n">
        <v>10</v>
      </c>
      <c r="F41" s="5" t="s">
        <v>22</v>
      </c>
      <c r="G41" s="6" t="n">
        <v>40</v>
      </c>
      <c r="H41" s="6" t="n">
        <v>288.14</v>
      </c>
      <c r="I41" s="7" t="n">
        <v>0.09</v>
      </c>
      <c r="J41" s="6" t="n">
        <f aca="false">ROUND(H41*I41,2)</f>
        <v>25.93</v>
      </c>
      <c r="K41" s="7" t="n">
        <v>0.09</v>
      </c>
      <c r="L41" s="6" t="n">
        <f aca="false">ROUND(H41*K41,2)</f>
        <v>25.93</v>
      </c>
      <c r="M41" s="6" t="n">
        <f aca="false">H41+J41+L41</f>
        <v>340</v>
      </c>
      <c r="N41" s="6" t="n">
        <f aca="false">G41*E41</f>
        <v>400</v>
      </c>
      <c r="O41" s="6" t="n">
        <f aca="false">ROUND(N41*0.85/1.18,2)</f>
        <v>288.14</v>
      </c>
      <c r="P41" s="6" t="n">
        <f aca="false">ROUND(O41-H41,2)</f>
        <v>0</v>
      </c>
      <c r="Q41" s="5" t="n">
        <v>2</v>
      </c>
      <c r="R41" s="5" t="s">
        <v>23</v>
      </c>
      <c r="S41" s="6" t="n">
        <f aca="false">ROUND(H41/E41,2)</f>
        <v>28.81</v>
      </c>
    </row>
    <row r="42" customFormat="false" ht="15" hidden="false" customHeight="true" outlineLevel="0" collapsed="false">
      <c r="A42" s="4" t="n">
        <v>41</v>
      </c>
      <c r="B42" s="4" t="s">
        <v>109</v>
      </c>
      <c r="C42" s="4" t="s">
        <v>110</v>
      </c>
      <c r="D42" s="5" t="s">
        <v>21</v>
      </c>
      <c r="E42" s="5" t="n">
        <v>10</v>
      </c>
      <c r="F42" s="5" t="s">
        <v>22</v>
      </c>
      <c r="G42" s="6" t="n">
        <v>46</v>
      </c>
      <c r="H42" s="6" t="n">
        <v>331.36</v>
      </c>
      <c r="I42" s="7" t="n">
        <v>0.09</v>
      </c>
      <c r="J42" s="6" t="n">
        <f aca="false">ROUND(H42*I42,2)</f>
        <v>29.82</v>
      </c>
      <c r="K42" s="7" t="n">
        <v>0.09</v>
      </c>
      <c r="L42" s="6" t="n">
        <f aca="false">ROUND(H42*K42,2)</f>
        <v>29.82</v>
      </c>
      <c r="M42" s="6" t="n">
        <f aca="false">H42+J42+L42</f>
        <v>391</v>
      </c>
      <c r="N42" s="6" t="n">
        <f aca="false">G42*E42</f>
        <v>460</v>
      </c>
      <c r="O42" s="6" t="n">
        <f aca="false">ROUND(N42*0.85/1.18,2)</f>
        <v>331.36</v>
      </c>
      <c r="P42" s="6" t="n">
        <f aca="false">ROUND(O42-H42,2)</f>
        <v>0</v>
      </c>
      <c r="Q42" s="5" t="n">
        <v>2</v>
      </c>
      <c r="R42" s="5" t="s">
        <v>23</v>
      </c>
      <c r="S42" s="6" t="n">
        <f aca="false">ROUND(H42/E42,2)</f>
        <v>33.14</v>
      </c>
    </row>
    <row r="43" customFormat="false" ht="15" hidden="false" customHeight="true" outlineLevel="0" collapsed="false">
      <c r="A43" s="4" t="n">
        <v>42</v>
      </c>
      <c r="B43" s="4" t="s">
        <v>111</v>
      </c>
      <c r="C43" s="4" t="s">
        <v>112</v>
      </c>
      <c r="D43" s="5" t="s">
        <v>113</v>
      </c>
      <c r="E43" s="5" t="n">
        <v>5</v>
      </c>
      <c r="F43" s="5" t="s">
        <v>22</v>
      </c>
      <c r="G43" s="6" t="n">
        <v>132</v>
      </c>
      <c r="H43" s="6" t="n">
        <v>475.42</v>
      </c>
      <c r="I43" s="7" t="n">
        <v>0.09</v>
      </c>
      <c r="J43" s="6" t="n">
        <f aca="false">ROUND(H43*I43,2)</f>
        <v>42.79</v>
      </c>
      <c r="K43" s="7" t="n">
        <v>0.09</v>
      </c>
      <c r="L43" s="6" t="n">
        <f aca="false">ROUND(H43*K43,2)</f>
        <v>42.79</v>
      </c>
      <c r="M43" s="6" t="n">
        <f aca="false">H43+J43+L43</f>
        <v>561</v>
      </c>
      <c r="N43" s="6" t="n">
        <f aca="false">G43*E43</f>
        <v>660</v>
      </c>
      <c r="O43" s="6" t="n">
        <f aca="false">ROUND(N43*0.85/1.18,2)</f>
        <v>475.42</v>
      </c>
      <c r="P43" s="6" t="n">
        <f aca="false">ROUND(O43-H43,2)</f>
        <v>0</v>
      </c>
      <c r="Q43" s="5" t="n">
        <v>2</v>
      </c>
      <c r="R43" s="5" t="s">
        <v>23</v>
      </c>
      <c r="S43" s="6" t="n">
        <f aca="false">ROUND(H43/E43,2)</f>
        <v>95.08</v>
      </c>
    </row>
    <row r="44" customFormat="false" ht="15" hidden="false" customHeight="true" outlineLevel="0" collapsed="false">
      <c r="A44" s="4" t="n">
        <v>43</v>
      </c>
      <c r="B44" s="4" t="s">
        <v>114</v>
      </c>
      <c r="C44" s="4" t="s">
        <v>115</v>
      </c>
      <c r="D44" s="5" t="s">
        <v>21</v>
      </c>
      <c r="E44" s="5" t="n">
        <v>5</v>
      </c>
      <c r="F44" s="5" t="s">
        <v>22</v>
      </c>
      <c r="G44" s="6" t="n">
        <v>88</v>
      </c>
      <c r="H44" s="6" t="n">
        <v>316.95</v>
      </c>
      <c r="I44" s="7" t="n">
        <v>0.09</v>
      </c>
      <c r="J44" s="6" t="n">
        <f aca="false">ROUND(H44*I44,2)</f>
        <v>28.53</v>
      </c>
      <c r="K44" s="7" t="n">
        <v>0.09</v>
      </c>
      <c r="L44" s="6" t="n">
        <f aca="false">ROUND(H44*K44,2)</f>
        <v>28.53</v>
      </c>
      <c r="M44" s="6" t="n">
        <f aca="false">H44+J44+L44</f>
        <v>374.01</v>
      </c>
      <c r="N44" s="6" t="n">
        <f aca="false">G44*E44</f>
        <v>440</v>
      </c>
      <c r="O44" s="6" t="n">
        <f aca="false">ROUND(N44*0.85/1.18,2)</f>
        <v>316.95</v>
      </c>
      <c r="P44" s="6" t="n">
        <f aca="false">ROUND(O44-H44,2)</f>
        <v>0</v>
      </c>
      <c r="Q44" s="5" t="n">
        <v>2</v>
      </c>
      <c r="R44" s="5" t="s">
        <v>23</v>
      </c>
      <c r="S44" s="6" t="n">
        <f aca="false">ROUND(H44/E44,2)</f>
        <v>63.39</v>
      </c>
    </row>
    <row r="45" customFormat="false" ht="15" hidden="false" customHeight="true" outlineLevel="0" collapsed="false">
      <c r="A45" s="4" t="n">
        <v>44</v>
      </c>
      <c r="B45" s="4" t="s">
        <v>116</v>
      </c>
      <c r="C45" s="4" t="s">
        <v>117</v>
      </c>
      <c r="D45" s="5" t="s">
        <v>21</v>
      </c>
      <c r="E45" s="5" t="n">
        <v>5</v>
      </c>
      <c r="F45" s="5" t="s">
        <v>22</v>
      </c>
      <c r="G45" s="6" t="n">
        <v>281</v>
      </c>
      <c r="H45" s="6" t="n">
        <v>1012.08</v>
      </c>
      <c r="I45" s="7" t="n">
        <v>0.09</v>
      </c>
      <c r="J45" s="6" t="n">
        <f aca="false">ROUND(H45*I45,2)</f>
        <v>91.09</v>
      </c>
      <c r="K45" s="7" t="n">
        <v>0.09</v>
      </c>
      <c r="L45" s="6" t="n">
        <f aca="false">ROUND(H45*K45,2)</f>
        <v>91.09</v>
      </c>
      <c r="M45" s="6" t="n">
        <f aca="false">H45+J45+L45</f>
        <v>1194.26</v>
      </c>
      <c r="N45" s="6" t="n">
        <f aca="false">G45*E45</f>
        <v>1405</v>
      </c>
      <c r="O45" s="6" t="n">
        <f aca="false">ROUND(N45*0.85/1.18,2)</f>
        <v>1012.08</v>
      </c>
      <c r="P45" s="6" t="n">
        <f aca="false">ROUND(O45-H45,2)</f>
        <v>0</v>
      </c>
      <c r="Q45" s="5" t="n">
        <v>2</v>
      </c>
      <c r="R45" s="5" t="s">
        <v>23</v>
      </c>
      <c r="S45" s="6" t="n">
        <f aca="false">ROUND(H45/E45,2)</f>
        <v>202.42</v>
      </c>
    </row>
    <row r="46" customFormat="false" ht="15" hidden="false" customHeight="true" outlineLevel="0" collapsed="false">
      <c r="A46" s="4" t="n">
        <v>45</v>
      </c>
      <c r="B46" s="4" t="s">
        <v>118</v>
      </c>
      <c r="C46" s="4" t="s">
        <v>119</v>
      </c>
      <c r="D46" s="5" t="s">
        <v>21</v>
      </c>
      <c r="E46" s="5" t="n">
        <v>5</v>
      </c>
      <c r="F46" s="5" t="s">
        <v>22</v>
      </c>
      <c r="G46" s="6" t="n">
        <v>115</v>
      </c>
      <c r="H46" s="6" t="n">
        <v>414.19</v>
      </c>
      <c r="I46" s="7" t="n">
        <v>0.09</v>
      </c>
      <c r="J46" s="6" t="n">
        <f aca="false">ROUND(H46*I46,2)</f>
        <v>37.28</v>
      </c>
      <c r="K46" s="7" t="n">
        <v>0.09</v>
      </c>
      <c r="L46" s="6" t="n">
        <f aca="false">ROUND(H46*K46,2)</f>
        <v>37.28</v>
      </c>
      <c r="M46" s="6" t="n">
        <f aca="false">H46+J46+L46</f>
        <v>488.75</v>
      </c>
      <c r="N46" s="6" t="n">
        <f aca="false">G46*E46</f>
        <v>575</v>
      </c>
      <c r="O46" s="6" t="n">
        <f aca="false">ROUND(N46*0.85/1.18,2)</f>
        <v>414.19</v>
      </c>
      <c r="P46" s="6" t="n">
        <f aca="false">ROUND(O46-H46,2)</f>
        <v>0</v>
      </c>
      <c r="Q46" s="5" t="n">
        <v>2</v>
      </c>
      <c r="R46" s="5" t="s">
        <v>23</v>
      </c>
      <c r="S46" s="6" t="n">
        <f aca="false">ROUND(H46/E46,2)</f>
        <v>82.84</v>
      </c>
    </row>
    <row r="47" customFormat="false" ht="15" hidden="false" customHeight="true" outlineLevel="0" collapsed="false">
      <c r="A47" s="4" t="n">
        <v>46</v>
      </c>
      <c r="B47" s="4" t="s">
        <v>120</v>
      </c>
      <c r="C47" s="4" t="s">
        <v>121</v>
      </c>
      <c r="D47" s="5" t="s">
        <v>21</v>
      </c>
      <c r="E47" s="5" t="n">
        <v>5</v>
      </c>
      <c r="F47" s="5" t="s">
        <v>22</v>
      </c>
      <c r="G47" s="6" t="n">
        <v>115</v>
      </c>
      <c r="H47" s="6" t="n">
        <v>414.19</v>
      </c>
      <c r="I47" s="7" t="n">
        <v>0.09</v>
      </c>
      <c r="J47" s="6" t="n">
        <f aca="false">ROUND(H47*I47,2)</f>
        <v>37.28</v>
      </c>
      <c r="K47" s="7" t="n">
        <v>0.09</v>
      </c>
      <c r="L47" s="6" t="n">
        <f aca="false">ROUND(H47*K47,2)</f>
        <v>37.28</v>
      </c>
      <c r="M47" s="6" t="n">
        <f aca="false">H47+J47+L47</f>
        <v>488.75</v>
      </c>
      <c r="N47" s="6" t="n">
        <f aca="false">G47*E47</f>
        <v>575</v>
      </c>
      <c r="O47" s="6" t="n">
        <f aca="false">ROUND(N47*0.85/1.18,2)</f>
        <v>414.19</v>
      </c>
      <c r="P47" s="6" t="n">
        <f aca="false">ROUND(O47-H47,2)</f>
        <v>0</v>
      </c>
      <c r="Q47" s="5" t="n">
        <v>2</v>
      </c>
      <c r="R47" s="5" t="s">
        <v>23</v>
      </c>
      <c r="S47" s="6" t="n">
        <f aca="false">ROUND(H47/E47,2)</f>
        <v>82.84</v>
      </c>
    </row>
    <row r="48" customFormat="false" ht="15" hidden="false" customHeight="true" outlineLevel="0" collapsed="false">
      <c r="A48" s="4" t="n">
        <v>47</v>
      </c>
      <c r="B48" s="4" t="s">
        <v>122</v>
      </c>
      <c r="C48" s="4" t="s">
        <v>123</v>
      </c>
      <c r="D48" s="5" t="s">
        <v>21</v>
      </c>
      <c r="E48" s="5" t="n">
        <v>5</v>
      </c>
      <c r="F48" s="5" t="s">
        <v>22</v>
      </c>
      <c r="G48" s="6" t="n">
        <v>114</v>
      </c>
      <c r="H48" s="6" t="n">
        <v>410.59</v>
      </c>
      <c r="I48" s="7" t="n">
        <v>0.09</v>
      </c>
      <c r="J48" s="6" t="n">
        <f aca="false">ROUND(H48*I48,2)</f>
        <v>36.95</v>
      </c>
      <c r="K48" s="7" t="n">
        <v>0.09</v>
      </c>
      <c r="L48" s="6" t="n">
        <f aca="false">ROUND(H48*K48,2)</f>
        <v>36.95</v>
      </c>
      <c r="M48" s="6" t="n">
        <f aca="false">H48+J48+L48</f>
        <v>484.49</v>
      </c>
      <c r="N48" s="6" t="n">
        <f aca="false">G48*E48</f>
        <v>570</v>
      </c>
      <c r="O48" s="6" t="n">
        <f aca="false">ROUND(N48*0.85/1.18,2)</f>
        <v>410.59</v>
      </c>
      <c r="P48" s="6" t="n">
        <f aca="false">ROUND(O48-H48,2)</f>
        <v>0</v>
      </c>
      <c r="Q48" s="5" t="n">
        <v>2</v>
      </c>
      <c r="R48" s="5" t="s">
        <v>23</v>
      </c>
      <c r="S48" s="6" t="n">
        <f aca="false">ROUND(H48/E48,2)</f>
        <v>82.12</v>
      </c>
    </row>
    <row r="49" customFormat="false" ht="15" hidden="false" customHeight="true" outlineLevel="0" collapsed="false">
      <c r="A49" s="4" t="n">
        <v>48</v>
      </c>
      <c r="B49" s="4" t="s">
        <v>124</v>
      </c>
      <c r="C49" s="4" t="s">
        <v>125</v>
      </c>
      <c r="D49" s="5" t="s">
        <v>21</v>
      </c>
      <c r="E49" s="5" t="n">
        <v>5</v>
      </c>
      <c r="F49" s="5" t="s">
        <v>22</v>
      </c>
      <c r="G49" s="6" t="n">
        <v>44</v>
      </c>
      <c r="H49" s="6" t="n">
        <v>158.47</v>
      </c>
      <c r="I49" s="7" t="n">
        <v>0.09</v>
      </c>
      <c r="J49" s="6" t="n">
        <f aca="false">ROUND(H49*I49,2)</f>
        <v>14.26</v>
      </c>
      <c r="K49" s="7" t="n">
        <v>0.09</v>
      </c>
      <c r="L49" s="6" t="n">
        <f aca="false">ROUND(H49*K49,2)</f>
        <v>14.26</v>
      </c>
      <c r="M49" s="6" t="n">
        <f aca="false">H49+J49+L49</f>
        <v>186.99</v>
      </c>
      <c r="N49" s="6" t="n">
        <f aca="false">G49*E49</f>
        <v>220</v>
      </c>
      <c r="O49" s="6" t="n">
        <f aca="false">ROUND(N49*0.85/1.18,2)</f>
        <v>158.47</v>
      </c>
      <c r="P49" s="6" t="n">
        <f aca="false">ROUND(O49-H49,2)</f>
        <v>0</v>
      </c>
      <c r="Q49" s="5" t="n">
        <v>2</v>
      </c>
      <c r="R49" s="5" t="s">
        <v>23</v>
      </c>
      <c r="S49" s="6" t="n">
        <f aca="false">ROUND(H49/E49,2)</f>
        <v>31.69</v>
      </c>
    </row>
    <row r="50" customFormat="false" ht="15" hidden="false" customHeight="true" outlineLevel="0" collapsed="false">
      <c r="A50" s="4" t="n">
        <v>49</v>
      </c>
      <c r="B50" s="4" t="s">
        <v>126</v>
      </c>
      <c r="C50" s="4" t="s">
        <v>127</v>
      </c>
      <c r="D50" s="5" t="s">
        <v>128</v>
      </c>
      <c r="E50" s="5" t="n">
        <v>5</v>
      </c>
      <c r="F50" s="5" t="s">
        <v>22</v>
      </c>
      <c r="G50" s="6" t="n">
        <v>337</v>
      </c>
      <c r="H50" s="6" t="n">
        <v>1213.77</v>
      </c>
      <c r="I50" s="7" t="n">
        <v>0.09</v>
      </c>
      <c r="J50" s="6" t="n">
        <f aca="false">ROUND(H50*I50,2)</f>
        <v>109.24</v>
      </c>
      <c r="K50" s="7" t="n">
        <v>0.09</v>
      </c>
      <c r="L50" s="6" t="n">
        <f aca="false">ROUND(H50*K50,2)</f>
        <v>109.24</v>
      </c>
      <c r="M50" s="6" t="n">
        <f aca="false">H50+J50+L50</f>
        <v>1432.25</v>
      </c>
      <c r="N50" s="6" t="n">
        <f aca="false">G50*E50</f>
        <v>1685</v>
      </c>
      <c r="O50" s="6" t="n">
        <f aca="false">ROUND(N50*0.85/1.18,2)</f>
        <v>1213.77</v>
      </c>
      <c r="P50" s="6" t="n">
        <f aca="false">ROUND(O50-H50,2)</f>
        <v>0</v>
      </c>
      <c r="Q50" s="5" t="n">
        <v>2</v>
      </c>
      <c r="R50" s="5" t="s">
        <v>23</v>
      </c>
      <c r="S50" s="6" t="n">
        <f aca="false">ROUND(H50/E50,2)</f>
        <v>242.75</v>
      </c>
    </row>
    <row r="51" customFormat="false" ht="15" hidden="false" customHeight="true" outlineLevel="0" collapsed="false">
      <c r="A51" s="4" t="n">
        <v>50</v>
      </c>
      <c r="B51" s="4" t="s">
        <v>129</v>
      </c>
      <c r="C51" s="4" t="s">
        <v>130</v>
      </c>
      <c r="D51" s="5" t="s">
        <v>113</v>
      </c>
      <c r="E51" s="5" t="n">
        <v>5</v>
      </c>
      <c r="F51" s="5" t="s">
        <v>22</v>
      </c>
      <c r="G51" s="6" t="n">
        <v>141</v>
      </c>
      <c r="H51" s="6" t="n">
        <v>507.84</v>
      </c>
      <c r="I51" s="7" t="n">
        <v>0.09</v>
      </c>
      <c r="J51" s="6" t="n">
        <f aca="false">ROUND(H51*I51,2)</f>
        <v>45.71</v>
      </c>
      <c r="K51" s="7" t="n">
        <v>0.09</v>
      </c>
      <c r="L51" s="6" t="n">
        <f aca="false">ROUND(H51*K51,2)</f>
        <v>45.71</v>
      </c>
      <c r="M51" s="6" t="n">
        <f aca="false">H51+J51+L51</f>
        <v>599.26</v>
      </c>
      <c r="N51" s="6" t="n">
        <f aca="false">G51*E51</f>
        <v>705</v>
      </c>
      <c r="O51" s="6" t="n">
        <f aca="false">ROUND(N51*0.85/1.18,2)</f>
        <v>507.84</v>
      </c>
      <c r="P51" s="6" t="n">
        <f aca="false">ROUND(O51-H51,2)</f>
        <v>0</v>
      </c>
      <c r="Q51" s="5" t="n">
        <v>2</v>
      </c>
      <c r="R51" s="5" t="s">
        <v>23</v>
      </c>
      <c r="S51" s="6" t="n">
        <f aca="false">ROUND(H51/E51,2)</f>
        <v>101.57</v>
      </c>
    </row>
    <row r="52" customFormat="false" ht="15" hidden="false" customHeight="true" outlineLevel="0" collapsed="false">
      <c r="A52" s="4" t="n">
        <v>51</v>
      </c>
      <c r="B52" s="4" t="s">
        <v>131</v>
      </c>
      <c r="C52" s="4" t="s">
        <v>132</v>
      </c>
      <c r="D52" s="5" t="s">
        <v>21</v>
      </c>
      <c r="E52" s="5" t="n">
        <v>10</v>
      </c>
      <c r="F52" s="5" t="s">
        <v>22</v>
      </c>
      <c r="G52" s="6" t="n">
        <v>260</v>
      </c>
      <c r="H52" s="6" t="n">
        <v>1872.88</v>
      </c>
      <c r="I52" s="7" t="n">
        <v>0.09</v>
      </c>
      <c r="J52" s="6" t="n">
        <f aca="false">ROUND(H52*I52,2)</f>
        <v>168.56</v>
      </c>
      <c r="K52" s="7" t="n">
        <v>0.09</v>
      </c>
      <c r="L52" s="6" t="n">
        <f aca="false">ROUND(H52*K52,2)</f>
        <v>168.56</v>
      </c>
      <c r="M52" s="6" t="n">
        <f aca="false">H52+J52+L52</f>
        <v>2210</v>
      </c>
      <c r="N52" s="6" t="n">
        <f aca="false">G52*E52</f>
        <v>2600</v>
      </c>
      <c r="O52" s="6" t="n">
        <f aca="false">ROUND(N52*0.85/1.18,2)</f>
        <v>1872.88</v>
      </c>
      <c r="P52" s="6" t="n">
        <f aca="false">ROUND(O52-H52,2)</f>
        <v>0</v>
      </c>
      <c r="Q52" s="5" t="n">
        <v>2</v>
      </c>
      <c r="R52" s="5" t="s">
        <v>23</v>
      </c>
      <c r="S52" s="6" t="n">
        <f aca="false">ROUND(H52/E52,2)</f>
        <v>187.29</v>
      </c>
    </row>
    <row r="53" customFormat="false" ht="15" hidden="false" customHeight="true" outlineLevel="0" collapsed="false">
      <c r="A53" s="4" t="n">
        <v>52</v>
      </c>
      <c r="B53" s="4" t="s">
        <v>133</v>
      </c>
      <c r="C53" s="4" t="s">
        <v>134</v>
      </c>
      <c r="D53" s="5" t="s">
        <v>21</v>
      </c>
      <c r="E53" s="5" t="n">
        <v>5</v>
      </c>
      <c r="F53" s="5" t="s">
        <v>22</v>
      </c>
      <c r="G53" s="6" t="n">
        <v>91</v>
      </c>
      <c r="H53" s="6" t="n">
        <v>327.75</v>
      </c>
      <c r="I53" s="7" t="n">
        <v>0.09</v>
      </c>
      <c r="J53" s="6" t="n">
        <f aca="false">ROUND(H53*I53,2)</f>
        <v>29.5</v>
      </c>
      <c r="K53" s="7" t="n">
        <v>0.09</v>
      </c>
      <c r="L53" s="6" t="n">
        <f aca="false">ROUND(H53*K53,2)</f>
        <v>29.5</v>
      </c>
      <c r="M53" s="6" t="n">
        <f aca="false">H53+J53+L53</f>
        <v>386.75</v>
      </c>
      <c r="N53" s="6" t="n">
        <f aca="false">G53*E53</f>
        <v>455</v>
      </c>
      <c r="O53" s="6" t="n">
        <f aca="false">ROUND(N53*0.85/1.18,2)</f>
        <v>327.75</v>
      </c>
      <c r="P53" s="6" t="n">
        <f aca="false">ROUND(O53-H53,2)</f>
        <v>0</v>
      </c>
      <c r="Q53" s="5" t="n">
        <v>2</v>
      </c>
      <c r="R53" s="5" t="s">
        <v>23</v>
      </c>
      <c r="S53" s="6" t="n">
        <f aca="false">ROUND(H53/E53,2)</f>
        <v>65.55</v>
      </c>
    </row>
    <row r="54" customFormat="false" ht="15" hidden="false" customHeight="true" outlineLevel="0" collapsed="false">
      <c r="A54" s="4" t="n">
        <v>53</v>
      </c>
      <c r="B54" s="4" t="s">
        <v>135</v>
      </c>
      <c r="C54" s="4" t="s">
        <v>136</v>
      </c>
      <c r="D54" s="5" t="s">
        <v>82</v>
      </c>
      <c r="E54" s="5" t="n">
        <v>1</v>
      </c>
      <c r="F54" s="5" t="s">
        <v>22</v>
      </c>
      <c r="G54" s="6" t="n">
        <v>1332</v>
      </c>
      <c r="H54" s="6" t="n">
        <v>959.49</v>
      </c>
      <c r="I54" s="7" t="n">
        <v>0.09</v>
      </c>
      <c r="J54" s="6" t="n">
        <f aca="false">ROUND(H54*I54,2)</f>
        <v>86.35</v>
      </c>
      <c r="K54" s="7" t="n">
        <v>0.09</v>
      </c>
      <c r="L54" s="6" t="n">
        <f aca="false">ROUND(H54*K54,2)</f>
        <v>86.35</v>
      </c>
      <c r="M54" s="6" t="n">
        <f aca="false">H54+J54+L54</f>
        <v>1132.19</v>
      </c>
      <c r="N54" s="6" t="n">
        <f aca="false">G54*E54</f>
        <v>1332</v>
      </c>
      <c r="O54" s="6" t="n">
        <f aca="false">ROUND(N54*0.85/1.18,2)</f>
        <v>959.49</v>
      </c>
      <c r="P54" s="6" t="n">
        <f aca="false">ROUND(O54-H54,2)</f>
        <v>0</v>
      </c>
      <c r="Q54" s="5" t="n">
        <v>2</v>
      </c>
      <c r="R54" s="5" t="s">
        <v>23</v>
      </c>
      <c r="S54" s="6" t="n">
        <f aca="false">ROUND(H54/E54,2)</f>
        <v>959.49</v>
      </c>
    </row>
    <row r="55" customFormat="false" ht="15" hidden="false" customHeight="true" outlineLevel="0" collapsed="false">
      <c r="A55" s="4" t="n">
        <v>54</v>
      </c>
      <c r="B55" s="4" t="s">
        <v>137</v>
      </c>
      <c r="C55" s="4" t="s">
        <v>138</v>
      </c>
      <c r="D55" s="5" t="s">
        <v>21</v>
      </c>
      <c r="E55" s="5" t="n">
        <v>10</v>
      </c>
      <c r="F55" s="5" t="s">
        <v>22</v>
      </c>
      <c r="G55" s="6" t="n">
        <v>130</v>
      </c>
      <c r="H55" s="6" t="n">
        <v>936.44</v>
      </c>
      <c r="I55" s="7" t="n">
        <v>0.09</v>
      </c>
      <c r="J55" s="6" t="n">
        <f aca="false">ROUND(H55*I55,2)</f>
        <v>84.28</v>
      </c>
      <c r="K55" s="7" t="n">
        <v>0.09</v>
      </c>
      <c r="L55" s="6" t="n">
        <f aca="false">ROUND(H55*K55,2)</f>
        <v>84.28</v>
      </c>
      <c r="M55" s="6" t="n">
        <f aca="false">H55+J55+L55</f>
        <v>1105</v>
      </c>
      <c r="N55" s="6" t="n">
        <f aca="false">G55*E55</f>
        <v>1300</v>
      </c>
      <c r="O55" s="6" t="n">
        <f aca="false">ROUND(N55*0.85/1.18,2)</f>
        <v>936.44</v>
      </c>
      <c r="P55" s="6" t="n">
        <f aca="false">ROUND(O55-H55,2)</f>
        <v>0</v>
      </c>
      <c r="Q55" s="5" t="n">
        <v>2</v>
      </c>
      <c r="R55" s="5" t="s">
        <v>23</v>
      </c>
      <c r="S55" s="6" t="n">
        <f aca="false">ROUND(H55/E55,2)</f>
        <v>93.64</v>
      </c>
    </row>
    <row r="56" customFormat="false" ht="15" hidden="false" customHeight="true" outlineLevel="0" collapsed="false">
      <c r="A56" s="4" t="n">
        <v>55</v>
      </c>
      <c r="B56" s="4" t="s">
        <v>139</v>
      </c>
      <c r="C56" s="4" t="s">
        <v>140</v>
      </c>
      <c r="D56" s="5" t="s">
        <v>82</v>
      </c>
      <c r="E56" s="5" t="n">
        <v>2</v>
      </c>
      <c r="F56" s="5" t="s">
        <v>22</v>
      </c>
      <c r="G56" s="6" t="n">
        <v>754</v>
      </c>
      <c r="H56" s="6" t="n">
        <v>1086.27</v>
      </c>
      <c r="I56" s="7" t="n">
        <v>0.09</v>
      </c>
      <c r="J56" s="6" t="n">
        <f aca="false">ROUND(H56*I56,2)</f>
        <v>97.76</v>
      </c>
      <c r="K56" s="7" t="n">
        <v>0.09</v>
      </c>
      <c r="L56" s="6" t="n">
        <f aca="false">ROUND(H56*K56,2)</f>
        <v>97.76</v>
      </c>
      <c r="M56" s="6" t="n">
        <f aca="false">H56+J56+L56</f>
        <v>1281.79</v>
      </c>
      <c r="N56" s="6" t="n">
        <f aca="false">G56*E56</f>
        <v>1508</v>
      </c>
      <c r="O56" s="6" t="n">
        <f aca="false">ROUND(N56*0.85/1.18,2)</f>
        <v>1086.27</v>
      </c>
      <c r="P56" s="6" t="n">
        <f aca="false">ROUND(O56-H56,2)</f>
        <v>0</v>
      </c>
      <c r="Q56" s="5" t="n">
        <v>2</v>
      </c>
      <c r="R56" s="5" t="s">
        <v>23</v>
      </c>
      <c r="S56" s="6" t="n">
        <f aca="false">ROUND(H56/E56,2)</f>
        <v>543.14</v>
      </c>
    </row>
    <row r="57" customFormat="false" ht="15" hidden="false" customHeight="true" outlineLevel="0" collapsed="false">
      <c r="A57" s="4" t="n">
        <v>56</v>
      </c>
      <c r="B57" s="4" t="s">
        <v>141</v>
      </c>
      <c r="C57" s="4" t="s">
        <v>142</v>
      </c>
      <c r="D57" s="5" t="s">
        <v>21</v>
      </c>
      <c r="E57" s="5" t="n">
        <v>5</v>
      </c>
      <c r="F57" s="5" t="s">
        <v>22</v>
      </c>
      <c r="G57" s="6" t="n">
        <v>252</v>
      </c>
      <c r="H57" s="6" t="n">
        <v>907.63</v>
      </c>
      <c r="I57" s="7" t="n">
        <v>0.09</v>
      </c>
      <c r="J57" s="6" t="n">
        <f aca="false">ROUND(H57*I57,2)</f>
        <v>81.69</v>
      </c>
      <c r="K57" s="7" t="n">
        <v>0.09</v>
      </c>
      <c r="L57" s="6" t="n">
        <f aca="false">ROUND(H57*K57,2)</f>
        <v>81.69</v>
      </c>
      <c r="M57" s="6" t="n">
        <f aca="false">H57+J57+L57</f>
        <v>1071.01</v>
      </c>
      <c r="N57" s="6" t="n">
        <f aca="false">G57*E57</f>
        <v>1260</v>
      </c>
      <c r="O57" s="6" t="n">
        <f aca="false">ROUND(N57*0.85/1.18,2)</f>
        <v>907.63</v>
      </c>
      <c r="P57" s="6" t="n">
        <f aca="false">ROUND(O57-H57,2)</f>
        <v>0</v>
      </c>
      <c r="Q57" s="5" t="n">
        <v>2</v>
      </c>
      <c r="R57" s="5" t="s">
        <v>23</v>
      </c>
      <c r="S57" s="6" t="n">
        <f aca="false">ROUND(H57/E57,2)</f>
        <v>181.53</v>
      </c>
    </row>
    <row r="58" customFormat="false" ht="15" hidden="false" customHeight="true" outlineLevel="0" collapsed="false">
      <c r="A58" s="4" t="n">
        <v>57</v>
      </c>
      <c r="B58" s="4" t="s">
        <v>143</v>
      </c>
      <c r="C58" s="4" t="s">
        <v>144</v>
      </c>
      <c r="D58" s="5" t="s">
        <v>73</v>
      </c>
      <c r="E58" s="5" t="n">
        <v>1</v>
      </c>
      <c r="F58" s="5" t="s">
        <v>22</v>
      </c>
      <c r="G58" s="6" t="n">
        <v>558</v>
      </c>
      <c r="H58" s="6" t="n">
        <v>401.95</v>
      </c>
      <c r="I58" s="7" t="n">
        <v>0.09</v>
      </c>
      <c r="J58" s="6" t="n">
        <f aca="false">ROUND(H58*I58,2)</f>
        <v>36.18</v>
      </c>
      <c r="K58" s="7" t="n">
        <v>0.09</v>
      </c>
      <c r="L58" s="6" t="n">
        <f aca="false">ROUND(H58*K58,2)</f>
        <v>36.18</v>
      </c>
      <c r="M58" s="6" t="n">
        <f aca="false">H58+J58+L58</f>
        <v>474.31</v>
      </c>
      <c r="N58" s="6" t="n">
        <f aca="false">G58*E58</f>
        <v>558</v>
      </c>
      <c r="O58" s="6" t="n">
        <f aca="false">ROUND(N58*0.85/1.18,2)</f>
        <v>401.95</v>
      </c>
      <c r="P58" s="6" t="n">
        <f aca="false">ROUND(O58-H58,2)</f>
        <v>0</v>
      </c>
      <c r="Q58" s="5" t="n">
        <v>2</v>
      </c>
      <c r="R58" s="5" t="s">
        <v>23</v>
      </c>
      <c r="S58" s="6" t="n">
        <f aca="false">ROUND(H58/E58,2)</f>
        <v>401.95</v>
      </c>
    </row>
    <row r="59" customFormat="false" ht="15" hidden="false" customHeight="true" outlineLevel="0" collapsed="false">
      <c r="A59" s="4" t="n">
        <v>58</v>
      </c>
      <c r="B59" s="4" t="s">
        <v>145</v>
      </c>
      <c r="C59" s="4" t="s">
        <v>146</v>
      </c>
      <c r="D59" s="5" t="s">
        <v>21</v>
      </c>
      <c r="E59" s="5" t="n">
        <v>5</v>
      </c>
      <c r="F59" s="5" t="s">
        <v>22</v>
      </c>
      <c r="G59" s="6" t="n">
        <v>117</v>
      </c>
      <c r="H59" s="6" t="n">
        <v>421.4</v>
      </c>
      <c r="I59" s="7" t="n">
        <v>0.09</v>
      </c>
      <c r="J59" s="6" t="n">
        <f aca="false">ROUND(H59*I59,2)</f>
        <v>37.93</v>
      </c>
      <c r="K59" s="7" t="n">
        <v>0.09</v>
      </c>
      <c r="L59" s="6" t="n">
        <f aca="false">ROUND(H59*K59,2)</f>
        <v>37.93</v>
      </c>
      <c r="M59" s="6" t="n">
        <f aca="false">H59+J59+L59</f>
        <v>497.26</v>
      </c>
      <c r="N59" s="6" t="n">
        <f aca="false">G59*E59</f>
        <v>585</v>
      </c>
      <c r="O59" s="6" t="n">
        <f aca="false">ROUND(N59*0.85/1.18,2)</f>
        <v>421.4</v>
      </c>
      <c r="P59" s="6" t="n">
        <f aca="false">ROUND(O59-H59,2)</f>
        <v>0</v>
      </c>
      <c r="Q59" s="5" t="n">
        <v>2</v>
      </c>
      <c r="R59" s="5" t="s">
        <v>23</v>
      </c>
      <c r="S59" s="6" t="n">
        <f aca="false">ROUND(H59/E59,2)</f>
        <v>84.28</v>
      </c>
    </row>
    <row r="60" customFormat="false" ht="15" hidden="false" customHeight="true" outlineLevel="0" collapsed="false">
      <c r="A60" s="4" t="n">
        <v>59</v>
      </c>
      <c r="B60" s="4" t="s">
        <v>147</v>
      </c>
      <c r="C60" s="4" t="s">
        <v>148</v>
      </c>
      <c r="D60" s="5" t="s">
        <v>21</v>
      </c>
      <c r="E60" s="5" t="n">
        <v>5</v>
      </c>
      <c r="F60" s="5" t="s">
        <v>22</v>
      </c>
      <c r="G60" s="6" t="n">
        <v>164</v>
      </c>
      <c r="H60" s="6" t="n">
        <v>590.68</v>
      </c>
      <c r="I60" s="7" t="n">
        <v>0.09</v>
      </c>
      <c r="J60" s="6" t="n">
        <f aca="false">ROUND(H60*I60,2)</f>
        <v>53.16</v>
      </c>
      <c r="K60" s="7" t="n">
        <v>0.09</v>
      </c>
      <c r="L60" s="6" t="n">
        <f aca="false">ROUND(H60*K60,2)</f>
        <v>53.16</v>
      </c>
      <c r="M60" s="6" t="n">
        <f aca="false">H60+J60+L60</f>
        <v>697</v>
      </c>
      <c r="N60" s="6" t="n">
        <f aca="false">G60*E60</f>
        <v>820</v>
      </c>
      <c r="O60" s="6" t="n">
        <f aca="false">ROUND(N60*0.85/1.18,2)</f>
        <v>590.68</v>
      </c>
      <c r="P60" s="6" t="n">
        <f aca="false">ROUND(O60-H60,2)</f>
        <v>0</v>
      </c>
      <c r="Q60" s="5" t="n">
        <v>2</v>
      </c>
      <c r="R60" s="5" t="s">
        <v>23</v>
      </c>
      <c r="S60" s="6" t="n">
        <f aca="false">ROUND(H60/E60,2)</f>
        <v>118.14</v>
      </c>
    </row>
    <row r="61" customFormat="false" ht="15" hidden="false" customHeight="true" outlineLevel="0" collapsed="false">
      <c r="A61" s="4" t="n">
        <v>60</v>
      </c>
      <c r="B61" s="4" t="s">
        <v>149</v>
      </c>
      <c r="C61" s="4" t="s">
        <v>150</v>
      </c>
      <c r="D61" s="5" t="s">
        <v>21</v>
      </c>
      <c r="E61" s="5" t="n">
        <v>10</v>
      </c>
      <c r="F61" s="5" t="s">
        <v>22</v>
      </c>
      <c r="G61" s="6" t="n">
        <v>160</v>
      </c>
      <c r="H61" s="6" t="n">
        <v>1152.54</v>
      </c>
      <c r="I61" s="7" t="n">
        <v>0.09</v>
      </c>
      <c r="J61" s="6" t="n">
        <f aca="false">ROUND(H61*I61,2)</f>
        <v>103.73</v>
      </c>
      <c r="K61" s="7" t="n">
        <v>0.09</v>
      </c>
      <c r="L61" s="6" t="n">
        <f aca="false">ROUND(H61*K61,2)</f>
        <v>103.73</v>
      </c>
      <c r="M61" s="6" t="n">
        <f aca="false">H61+J61+L61</f>
        <v>1360</v>
      </c>
      <c r="N61" s="6" t="n">
        <f aca="false">G61*E61</f>
        <v>1600</v>
      </c>
      <c r="O61" s="6" t="n">
        <f aca="false">ROUND(N61*0.85/1.18,2)</f>
        <v>1152.54</v>
      </c>
      <c r="P61" s="6" t="n">
        <f aca="false">ROUND(O61-H61,2)</f>
        <v>0</v>
      </c>
      <c r="Q61" s="5" t="n">
        <v>2</v>
      </c>
      <c r="R61" s="5" t="s">
        <v>23</v>
      </c>
      <c r="S61" s="6" t="n">
        <f aca="false">ROUND(H61/E61,2)</f>
        <v>115.25</v>
      </c>
    </row>
    <row r="62" customFormat="false" ht="15" hidden="false" customHeight="true" outlineLevel="0" collapsed="false">
      <c r="A62" s="4" t="n">
        <v>61</v>
      </c>
      <c r="B62" s="4" t="s">
        <v>151</v>
      </c>
      <c r="C62" s="4" t="s">
        <v>152</v>
      </c>
      <c r="D62" s="5" t="s">
        <v>21</v>
      </c>
      <c r="E62" s="5" t="n">
        <v>10</v>
      </c>
      <c r="F62" s="5" t="s">
        <v>22</v>
      </c>
      <c r="G62" s="6" t="n">
        <v>142</v>
      </c>
      <c r="H62" s="6" t="n">
        <v>1022.88</v>
      </c>
      <c r="I62" s="7" t="n">
        <v>0.09</v>
      </c>
      <c r="J62" s="6" t="n">
        <f aca="false">ROUND(H62*I62,2)</f>
        <v>92.06</v>
      </c>
      <c r="K62" s="7" t="n">
        <v>0.09</v>
      </c>
      <c r="L62" s="6" t="n">
        <f aca="false">ROUND(H62*K62,2)</f>
        <v>92.06</v>
      </c>
      <c r="M62" s="6" t="n">
        <f aca="false">H62+J62+L62</f>
        <v>1207</v>
      </c>
      <c r="N62" s="6" t="n">
        <f aca="false">G62*E62</f>
        <v>1420</v>
      </c>
      <c r="O62" s="6" t="n">
        <f aca="false">ROUND(N62*0.85/1.18,2)</f>
        <v>1022.88</v>
      </c>
      <c r="P62" s="6" t="n">
        <f aca="false">ROUND(O62-H62,2)</f>
        <v>0</v>
      </c>
      <c r="Q62" s="5" t="n">
        <v>2</v>
      </c>
      <c r="R62" s="5" t="s">
        <v>23</v>
      </c>
      <c r="S62" s="6" t="n">
        <f aca="false">ROUND(H62/E62,2)</f>
        <v>102.29</v>
      </c>
    </row>
    <row r="63" customFormat="false" ht="15" hidden="false" customHeight="true" outlineLevel="0" collapsed="false">
      <c r="A63" s="4" t="n">
        <v>62</v>
      </c>
      <c r="B63" s="4" t="s">
        <v>153</v>
      </c>
      <c r="C63" s="4" t="s">
        <v>154</v>
      </c>
      <c r="D63" s="5" t="s">
        <v>21</v>
      </c>
      <c r="E63" s="5" t="n">
        <v>5</v>
      </c>
      <c r="F63" s="5" t="s">
        <v>22</v>
      </c>
      <c r="G63" s="6" t="n">
        <v>129</v>
      </c>
      <c r="H63" s="6" t="n">
        <v>464.62</v>
      </c>
      <c r="I63" s="7" t="n">
        <v>0.09</v>
      </c>
      <c r="J63" s="6" t="n">
        <f aca="false">ROUND(H63*I63,2)</f>
        <v>41.82</v>
      </c>
      <c r="K63" s="7" t="n">
        <v>0.09</v>
      </c>
      <c r="L63" s="6" t="n">
        <f aca="false">ROUND(H63*K63,2)</f>
        <v>41.82</v>
      </c>
      <c r="M63" s="6" t="n">
        <f aca="false">H63+J63+L63</f>
        <v>548.26</v>
      </c>
      <c r="N63" s="6" t="n">
        <f aca="false">G63*E63</f>
        <v>645</v>
      </c>
      <c r="O63" s="6" t="n">
        <f aca="false">ROUND(N63*0.85/1.18,2)</f>
        <v>464.62</v>
      </c>
      <c r="P63" s="6" t="n">
        <f aca="false">ROUND(O63-H63,2)</f>
        <v>0</v>
      </c>
      <c r="Q63" s="5" t="n">
        <v>2</v>
      </c>
      <c r="R63" s="5" t="s">
        <v>23</v>
      </c>
      <c r="S63" s="6" t="n">
        <f aca="false">ROUND(H63/E63,2)</f>
        <v>92.92</v>
      </c>
    </row>
    <row r="64" customFormat="false" ht="15" hidden="false" customHeight="true" outlineLevel="0" collapsed="false">
      <c r="A64" s="4" t="n">
        <v>63</v>
      </c>
      <c r="B64" s="4" t="s">
        <v>155</v>
      </c>
      <c r="C64" s="4" t="s">
        <v>156</v>
      </c>
      <c r="D64" s="5" t="s">
        <v>94</v>
      </c>
      <c r="E64" s="5" t="n">
        <v>5</v>
      </c>
      <c r="F64" s="5" t="s">
        <v>22</v>
      </c>
      <c r="G64" s="6" t="n">
        <v>160</v>
      </c>
      <c r="H64" s="6" t="n">
        <v>576.27</v>
      </c>
      <c r="I64" s="7" t="n">
        <v>0.09</v>
      </c>
      <c r="J64" s="6" t="n">
        <f aca="false">ROUND(H64*I64,2)</f>
        <v>51.86</v>
      </c>
      <c r="K64" s="7" t="n">
        <v>0.09</v>
      </c>
      <c r="L64" s="6" t="n">
        <f aca="false">ROUND(H64*K64,2)</f>
        <v>51.86</v>
      </c>
      <c r="M64" s="6" t="n">
        <f aca="false">H64+J64+L64</f>
        <v>679.99</v>
      </c>
      <c r="N64" s="6" t="n">
        <f aca="false">G64*E64</f>
        <v>800</v>
      </c>
      <c r="O64" s="6" t="n">
        <f aca="false">ROUND(N64*0.85/1.18,2)</f>
        <v>576.27</v>
      </c>
      <c r="P64" s="6" t="n">
        <f aca="false">ROUND(O64-H64,2)</f>
        <v>0</v>
      </c>
      <c r="Q64" s="5" t="n">
        <v>2</v>
      </c>
      <c r="R64" s="5" t="s">
        <v>23</v>
      </c>
      <c r="S64" s="6" t="n">
        <f aca="false">ROUND(H64/E64,2)</f>
        <v>115.25</v>
      </c>
    </row>
    <row r="65" customFormat="false" ht="15" hidden="false" customHeight="true" outlineLevel="0" collapsed="false">
      <c r="A65" s="4" t="n">
        <v>64</v>
      </c>
      <c r="B65" s="4" t="s">
        <v>157</v>
      </c>
      <c r="C65" s="4" t="s">
        <v>158</v>
      </c>
      <c r="D65" s="5" t="s">
        <v>113</v>
      </c>
      <c r="E65" s="5" t="n">
        <v>5</v>
      </c>
      <c r="F65" s="5" t="s">
        <v>22</v>
      </c>
      <c r="G65" s="6" t="n">
        <v>95</v>
      </c>
      <c r="H65" s="6" t="n">
        <v>342.16</v>
      </c>
      <c r="I65" s="7" t="n">
        <v>0.09</v>
      </c>
      <c r="J65" s="6" t="n">
        <f aca="false">ROUND(H65*I65,2)</f>
        <v>30.79</v>
      </c>
      <c r="K65" s="7" t="n">
        <v>0.09</v>
      </c>
      <c r="L65" s="6" t="n">
        <f aca="false">ROUND(H65*K65,2)</f>
        <v>30.79</v>
      </c>
      <c r="M65" s="6" t="n">
        <f aca="false">H65+J65+L65</f>
        <v>403.74</v>
      </c>
      <c r="N65" s="6" t="n">
        <f aca="false">G65*E65</f>
        <v>475</v>
      </c>
      <c r="O65" s="6" t="n">
        <f aca="false">ROUND(N65*0.85/1.18,2)</f>
        <v>342.16</v>
      </c>
      <c r="P65" s="6" t="n">
        <f aca="false">ROUND(O65-H65,2)</f>
        <v>0</v>
      </c>
      <c r="Q65" s="5" t="n">
        <v>3</v>
      </c>
      <c r="R65" s="5" t="s">
        <v>23</v>
      </c>
      <c r="S65" s="6" t="n">
        <f aca="false">ROUND(H65/E65,2)</f>
        <v>68.43</v>
      </c>
    </row>
    <row r="66" customFormat="false" ht="15" hidden="false" customHeight="true" outlineLevel="0" collapsed="false">
      <c r="A66" s="4" t="n">
        <v>65</v>
      </c>
      <c r="B66" s="4" t="s">
        <v>159</v>
      </c>
      <c r="C66" s="4" t="s">
        <v>160</v>
      </c>
      <c r="D66" s="5" t="s">
        <v>161</v>
      </c>
      <c r="E66" s="5" t="n">
        <v>20</v>
      </c>
      <c r="F66" s="5" t="s">
        <v>22</v>
      </c>
      <c r="G66" s="6" t="n">
        <v>48</v>
      </c>
      <c r="H66" s="6" t="n">
        <v>691.53</v>
      </c>
      <c r="I66" s="7" t="n">
        <v>0.09</v>
      </c>
      <c r="J66" s="6" t="n">
        <f aca="false">ROUND(H66*I66,2)</f>
        <v>62.24</v>
      </c>
      <c r="K66" s="7" t="n">
        <v>0.09</v>
      </c>
      <c r="L66" s="6" t="n">
        <f aca="false">ROUND(H66*K66,2)</f>
        <v>62.24</v>
      </c>
      <c r="M66" s="6" t="n">
        <f aca="false">H66+J66+L66</f>
        <v>816.01</v>
      </c>
      <c r="N66" s="6" t="n">
        <f aca="false">G66*E66</f>
        <v>960</v>
      </c>
      <c r="O66" s="6" t="n">
        <f aca="false">ROUND(N66*0.85/1.18,2)</f>
        <v>691.53</v>
      </c>
      <c r="P66" s="6" t="n">
        <f aca="false">ROUND(O66-H66,2)</f>
        <v>0</v>
      </c>
      <c r="Q66" s="5" t="n">
        <v>3</v>
      </c>
      <c r="R66" s="5" t="s">
        <v>23</v>
      </c>
      <c r="S66" s="6" t="n">
        <f aca="false">ROUND(H66/E66,2)</f>
        <v>34.58</v>
      </c>
    </row>
    <row r="67" customFormat="false" ht="15" hidden="false" customHeight="true" outlineLevel="0" collapsed="false">
      <c r="A67" s="4" t="n">
        <v>66</v>
      </c>
      <c r="B67" s="4" t="s">
        <v>162</v>
      </c>
      <c r="C67" s="4" t="s">
        <v>163</v>
      </c>
      <c r="D67" s="5" t="s">
        <v>164</v>
      </c>
      <c r="E67" s="5" t="n">
        <v>1</v>
      </c>
      <c r="F67" s="5" t="s">
        <v>22</v>
      </c>
      <c r="G67" s="6" t="n">
        <v>1976</v>
      </c>
      <c r="H67" s="6" t="n">
        <v>1423.39</v>
      </c>
      <c r="I67" s="7" t="n">
        <v>0.09</v>
      </c>
      <c r="J67" s="6" t="n">
        <f aca="false">ROUND(H67*I67,2)</f>
        <v>128.11</v>
      </c>
      <c r="K67" s="7" t="n">
        <v>0.09</v>
      </c>
      <c r="L67" s="6" t="n">
        <f aca="false">ROUND(H67*K67,2)</f>
        <v>128.11</v>
      </c>
      <c r="M67" s="6" t="n">
        <f aca="false">H67+J67+L67</f>
        <v>1679.61</v>
      </c>
      <c r="N67" s="6" t="n">
        <f aca="false">G67*E67</f>
        <v>1976</v>
      </c>
      <c r="O67" s="6" t="n">
        <f aca="false">ROUND(N67*0.85/1.18,2)</f>
        <v>1423.39</v>
      </c>
      <c r="P67" s="6" t="n">
        <f aca="false">ROUND(O67-H67,2)</f>
        <v>0</v>
      </c>
      <c r="Q67" s="5" t="n">
        <v>3</v>
      </c>
      <c r="R67" s="5" t="s">
        <v>23</v>
      </c>
      <c r="S67" s="6" t="n">
        <f aca="false">ROUND(H67/E67,2)</f>
        <v>1423.39</v>
      </c>
    </row>
    <row r="68" customFormat="false" ht="15" hidden="false" customHeight="true" outlineLevel="0" collapsed="false">
      <c r="A68" s="4" t="n">
        <v>67</v>
      </c>
      <c r="B68" s="4" t="s">
        <v>165</v>
      </c>
      <c r="C68" s="4" t="s">
        <v>166</v>
      </c>
      <c r="D68" s="5" t="s">
        <v>21</v>
      </c>
      <c r="E68" s="5" t="n">
        <v>2</v>
      </c>
      <c r="F68" s="5" t="s">
        <v>22</v>
      </c>
      <c r="G68" s="6" t="n">
        <v>1543</v>
      </c>
      <c r="H68" s="6" t="n">
        <v>2222.97</v>
      </c>
      <c r="I68" s="7" t="n">
        <v>0.09</v>
      </c>
      <c r="J68" s="6" t="n">
        <f aca="false">ROUND(H68*I68,2)</f>
        <v>200.07</v>
      </c>
      <c r="K68" s="7" t="n">
        <v>0.09</v>
      </c>
      <c r="L68" s="6" t="n">
        <f aca="false">ROUND(H68*K68,2)</f>
        <v>200.07</v>
      </c>
      <c r="M68" s="6" t="n">
        <f aca="false">H68+J68+L68</f>
        <v>2623.11</v>
      </c>
      <c r="N68" s="6" t="n">
        <f aca="false">G68*E68</f>
        <v>3086</v>
      </c>
      <c r="O68" s="6" t="n">
        <f aca="false">ROUND(N68*0.85/1.18,2)</f>
        <v>2222.97</v>
      </c>
      <c r="P68" s="6" t="n">
        <f aca="false">ROUND(O68-H68,2)</f>
        <v>0</v>
      </c>
      <c r="Q68" s="5" t="n">
        <v>3</v>
      </c>
      <c r="R68" s="5" t="s">
        <v>23</v>
      </c>
      <c r="S68" s="6" t="n">
        <f aca="false">ROUND(H68/E68,2)</f>
        <v>1111.49</v>
      </c>
    </row>
    <row r="69" customFormat="false" ht="15" hidden="false" customHeight="true" outlineLevel="0" collapsed="false">
      <c r="A69" s="4" t="n">
        <v>68</v>
      </c>
      <c r="B69" s="4" t="s">
        <v>167</v>
      </c>
      <c r="C69" s="4" t="s">
        <v>168</v>
      </c>
      <c r="D69" s="5" t="s">
        <v>21</v>
      </c>
      <c r="E69" s="5" t="n">
        <v>2</v>
      </c>
      <c r="F69" s="5" t="s">
        <v>22</v>
      </c>
      <c r="G69" s="6" t="n">
        <v>214</v>
      </c>
      <c r="H69" s="6" t="n">
        <v>308.31</v>
      </c>
      <c r="I69" s="7" t="n">
        <v>0.09</v>
      </c>
      <c r="J69" s="6" t="n">
        <f aca="false">ROUND(H69*I69,2)</f>
        <v>27.75</v>
      </c>
      <c r="K69" s="7" t="n">
        <v>0.09</v>
      </c>
      <c r="L69" s="6" t="n">
        <f aca="false">ROUND(H69*K69,2)</f>
        <v>27.75</v>
      </c>
      <c r="M69" s="6" t="n">
        <f aca="false">H69+J69+L69</f>
        <v>363.81</v>
      </c>
      <c r="N69" s="6" t="n">
        <f aca="false">G69*E69</f>
        <v>428</v>
      </c>
      <c r="O69" s="6" t="n">
        <f aca="false">ROUND(N69*0.85/1.18,2)</f>
        <v>308.31</v>
      </c>
      <c r="P69" s="6" t="n">
        <f aca="false">ROUND(O69-H69,2)</f>
        <v>0</v>
      </c>
      <c r="Q69" s="5" t="n">
        <v>3</v>
      </c>
      <c r="R69" s="5" t="s">
        <v>23</v>
      </c>
      <c r="S69" s="6" t="n">
        <f aca="false">ROUND(H69/E69,2)</f>
        <v>154.16</v>
      </c>
    </row>
    <row r="70" customFormat="false" ht="15" hidden="false" customHeight="true" outlineLevel="0" collapsed="false">
      <c r="A70" s="4" t="n">
        <v>69</v>
      </c>
      <c r="B70" s="4" t="s">
        <v>169</v>
      </c>
      <c r="C70" s="4" t="s">
        <v>170</v>
      </c>
      <c r="D70" s="5" t="s">
        <v>21</v>
      </c>
      <c r="E70" s="5" t="n">
        <v>1</v>
      </c>
      <c r="F70" s="5" t="s">
        <v>22</v>
      </c>
      <c r="G70" s="6" t="n">
        <v>265</v>
      </c>
      <c r="H70" s="6" t="n">
        <v>190.89</v>
      </c>
      <c r="I70" s="7" t="n">
        <v>0.09</v>
      </c>
      <c r="J70" s="6" t="n">
        <f aca="false">ROUND(H70*I70,2)</f>
        <v>17.18</v>
      </c>
      <c r="K70" s="7" t="n">
        <v>0.09</v>
      </c>
      <c r="L70" s="6" t="n">
        <f aca="false">ROUND(H70*K70,2)</f>
        <v>17.18</v>
      </c>
      <c r="M70" s="6" t="n">
        <f aca="false">H70+J70+L70</f>
        <v>225.25</v>
      </c>
      <c r="N70" s="6" t="n">
        <f aca="false">G70*E70</f>
        <v>265</v>
      </c>
      <c r="O70" s="6" t="n">
        <f aca="false">ROUND(N70*0.85/1.18,2)</f>
        <v>190.89</v>
      </c>
      <c r="P70" s="6" t="n">
        <f aca="false">ROUND(O70-H70,2)</f>
        <v>0</v>
      </c>
      <c r="Q70" s="5" t="n">
        <v>3</v>
      </c>
      <c r="R70" s="5" t="s">
        <v>23</v>
      </c>
      <c r="S70" s="6" t="n">
        <f aca="false">ROUND(H70/E70,2)</f>
        <v>190.89</v>
      </c>
    </row>
    <row r="71" customFormat="false" ht="15" hidden="false" customHeight="true" outlineLevel="0" collapsed="false">
      <c r="A71" s="4" t="n">
        <v>70</v>
      </c>
      <c r="B71" s="4" t="s">
        <v>171</v>
      </c>
      <c r="C71" s="4" t="s">
        <v>172</v>
      </c>
      <c r="D71" s="5" t="s">
        <v>21</v>
      </c>
      <c r="E71" s="5" t="n">
        <v>1</v>
      </c>
      <c r="F71" s="5" t="s">
        <v>22</v>
      </c>
      <c r="G71" s="6" t="n">
        <v>264</v>
      </c>
      <c r="H71" s="6" t="n">
        <v>190.17</v>
      </c>
      <c r="I71" s="7" t="n">
        <v>0.09</v>
      </c>
      <c r="J71" s="6" t="n">
        <f aca="false">ROUND(H71*I71,2)</f>
        <v>17.12</v>
      </c>
      <c r="K71" s="7" t="n">
        <v>0.09</v>
      </c>
      <c r="L71" s="6" t="n">
        <f aca="false">ROUND(H71*K71,2)</f>
        <v>17.12</v>
      </c>
      <c r="M71" s="6" t="n">
        <f aca="false">H71+J71+L71</f>
        <v>224.41</v>
      </c>
      <c r="N71" s="6" t="n">
        <f aca="false">G71*E71</f>
        <v>264</v>
      </c>
      <c r="O71" s="6" t="n">
        <f aca="false">ROUND(N71*0.85/1.18,2)</f>
        <v>190.17</v>
      </c>
      <c r="P71" s="6" t="n">
        <f aca="false">ROUND(O71-H71,2)</f>
        <v>0</v>
      </c>
      <c r="Q71" s="5" t="n">
        <v>3</v>
      </c>
      <c r="R71" s="5" t="s">
        <v>23</v>
      </c>
      <c r="S71" s="6" t="n">
        <f aca="false">ROUND(H71/E71,2)</f>
        <v>190.17</v>
      </c>
    </row>
    <row r="72" customFormat="false" ht="15" hidden="false" customHeight="true" outlineLevel="0" collapsed="false">
      <c r="A72" s="4" t="n">
        <v>71</v>
      </c>
      <c r="B72" s="4" t="s">
        <v>173</v>
      </c>
      <c r="C72" s="4" t="s">
        <v>174</v>
      </c>
      <c r="D72" s="5" t="s">
        <v>21</v>
      </c>
      <c r="E72" s="5" t="n">
        <v>1</v>
      </c>
      <c r="F72" s="5" t="s">
        <v>22</v>
      </c>
      <c r="G72" s="6" t="n">
        <v>249</v>
      </c>
      <c r="H72" s="6" t="n">
        <v>179.36</v>
      </c>
      <c r="I72" s="7" t="n">
        <v>0.09</v>
      </c>
      <c r="J72" s="6" t="n">
        <f aca="false">ROUND(H72*I72,2)</f>
        <v>16.14</v>
      </c>
      <c r="K72" s="7" t="n">
        <v>0.09</v>
      </c>
      <c r="L72" s="6" t="n">
        <f aca="false">ROUND(H72*K72,2)</f>
        <v>16.14</v>
      </c>
      <c r="M72" s="6" t="n">
        <f aca="false">H72+J72+L72</f>
        <v>211.64</v>
      </c>
      <c r="N72" s="6" t="n">
        <f aca="false">G72*E72</f>
        <v>249</v>
      </c>
      <c r="O72" s="6" t="n">
        <f aca="false">ROUND(N72*0.85/1.18,2)</f>
        <v>179.36</v>
      </c>
      <c r="P72" s="6" t="n">
        <f aca="false">ROUND(O72-H72,2)</f>
        <v>0</v>
      </c>
      <c r="Q72" s="5" t="n">
        <v>3</v>
      </c>
      <c r="R72" s="5" t="s">
        <v>23</v>
      </c>
      <c r="S72" s="6" t="n">
        <f aca="false">ROUND(H72/E72,2)</f>
        <v>179.36</v>
      </c>
    </row>
    <row r="73" customFormat="false" ht="15" hidden="false" customHeight="true" outlineLevel="0" collapsed="false">
      <c r="A73" s="4" t="n">
        <v>72</v>
      </c>
      <c r="B73" s="4" t="s">
        <v>175</v>
      </c>
      <c r="C73" s="4" t="s">
        <v>176</v>
      </c>
      <c r="D73" s="5" t="s">
        <v>73</v>
      </c>
      <c r="E73" s="5" t="n">
        <v>2</v>
      </c>
      <c r="F73" s="5" t="s">
        <v>22</v>
      </c>
      <c r="G73" s="6" t="n">
        <v>647</v>
      </c>
      <c r="H73" s="6" t="n">
        <v>932.12</v>
      </c>
      <c r="I73" s="7" t="n">
        <v>0.09</v>
      </c>
      <c r="J73" s="6" t="n">
        <f aca="false">ROUND(H73*I73,2)</f>
        <v>83.89</v>
      </c>
      <c r="K73" s="7" t="n">
        <v>0.09</v>
      </c>
      <c r="L73" s="6" t="n">
        <f aca="false">ROUND(H73*K73,2)</f>
        <v>83.89</v>
      </c>
      <c r="M73" s="6" t="n">
        <f aca="false">H73+J73+L73</f>
        <v>1099.9</v>
      </c>
      <c r="N73" s="6" t="n">
        <f aca="false">G73*E73</f>
        <v>1294</v>
      </c>
      <c r="O73" s="6" t="n">
        <f aca="false">ROUND(N73*0.85/1.18,2)</f>
        <v>932.12</v>
      </c>
      <c r="P73" s="6" t="n">
        <f aca="false">ROUND(O73-H73,2)</f>
        <v>0</v>
      </c>
      <c r="Q73" s="5" t="n">
        <v>3</v>
      </c>
      <c r="R73" s="5" t="s">
        <v>23</v>
      </c>
      <c r="S73" s="6" t="n">
        <f aca="false">ROUND(H73/E73,2)</f>
        <v>466.06</v>
      </c>
    </row>
    <row r="74" customFormat="false" ht="15" hidden="false" customHeight="true" outlineLevel="0" collapsed="false">
      <c r="A74" s="4" t="n">
        <v>73</v>
      </c>
      <c r="B74" s="4" t="s">
        <v>177</v>
      </c>
      <c r="C74" s="4" t="s">
        <v>178</v>
      </c>
      <c r="D74" s="5" t="s">
        <v>21</v>
      </c>
      <c r="E74" s="5" t="n">
        <v>1</v>
      </c>
      <c r="F74" s="5" t="s">
        <v>22</v>
      </c>
      <c r="G74" s="6" t="n">
        <v>1818</v>
      </c>
      <c r="H74" s="6" t="n">
        <v>1309.58</v>
      </c>
      <c r="I74" s="7" t="n">
        <v>0.09</v>
      </c>
      <c r="J74" s="6" t="n">
        <f aca="false">ROUND(H74*I74,2)</f>
        <v>117.86</v>
      </c>
      <c r="K74" s="7" t="n">
        <v>0.09</v>
      </c>
      <c r="L74" s="6" t="n">
        <f aca="false">ROUND(H74*K74,2)</f>
        <v>117.86</v>
      </c>
      <c r="M74" s="6" t="n">
        <f aca="false">H74+J74+L74</f>
        <v>1545.3</v>
      </c>
      <c r="N74" s="6" t="n">
        <f aca="false">G74*E74</f>
        <v>1818</v>
      </c>
      <c r="O74" s="6" t="n">
        <f aca="false">ROUND(N74*0.85/1.18,2)</f>
        <v>1309.58</v>
      </c>
      <c r="P74" s="6" t="n">
        <f aca="false">ROUND(O74-H74,2)</f>
        <v>0</v>
      </c>
      <c r="Q74" s="5" t="n">
        <v>3</v>
      </c>
      <c r="R74" s="5" t="s">
        <v>23</v>
      </c>
      <c r="S74" s="6" t="n">
        <f aca="false">ROUND(H74/E74,2)</f>
        <v>1309.58</v>
      </c>
    </row>
    <row r="75" customFormat="false" ht="15" hidden="false" customHeight="true" outlineLevel="0" collapsed="false">
      <c r="A75" s="4" t="n">
        <v>74</v>
      </c>
      <c r="B75" s="4" t="s">
        <v>179</v>
      </c>
      <c r="C75" s="4" t="s">
        <v>180</v>
      </c>
      <c r="D75" s="5" t="s">
        <v>21</v>
      </c>
      <c r="E75" s="5" t="n">
        <v>1</v>
      </c>
      <c r="F75" s="5" t="s">
        <v>22</v>
      </c>
      <c r="G75" s="6" t="n">
        <v>1031</v>
      </c>
      <c r="H75" s="6" t="n">
        <v>742.67</v>
      </c>
      <c r="I75" s="7" t="n">
        <v>0.09</v>
      </c>
      <c r="J75" s="6" t="n">
        <f aca="false">ROUND(H75*I75,2)</f>
        <v>66.84</v>
      </c>
      <c r="K75" s="7" t="n">
        <v>0.09</v>
      </c>
      <c r="L75" s="6" t="n">
        <f aca="false">ROUND(H75*K75,2)</f>
        <v>66.84</v>
      </c>
      <c r="M75" s="6" t="n">
        <f aca="false">H75+J75+L75</f>
        <v>876.35</v>
      </c>
      <c r="N75" s="6" t="n">
        <f aca="false">G75*E75</f>
        <v>1031</v>
      </c>
      <c r="O75" s="6" t="n">
        <f aca="false">ROUND(N75*0.85/1.18,2)</f>
        <v>742.67</v>
      </c>
      <c r="P75" s="6" t="n">
        <f aca="false">ROUND(O75-H75,2)</f>
        <v>0</v>
      </c>
      <c r="Q75" s="5" t="n">
        <v>3</v>
      </c>
      <c r="R75" s="5" t="s">
        <v>23</v>
      </c>
      <c r="S75" s="6" t="n">
        <f aca="false">ROUND(H75/E75,2)</f>
        <v>742.67</v>
      </c>
    </row>
    <row r="76" customFormat="false" ht="15" hidden="false" customHeight="true" outlineLevel="0" collapsed="false">
      <c r="A76" s="4" t="n">
        <v>75</v>
      </c>
      <c r="B76" s="4" t="s">
        <v>181</v>
      </c>
      <c r="C76" s="4" t="s">
        <v>182</v>
      </c>
      <c r="D76" s="5" t="s">
        <v>73</v>
      </c>
      <c r="E76" s="5" t="n">
        <v>2</v>
      </c>
      <c r="F76" s="5" t="s">
        <v>22</v>
      </c>
      <c r="G76" s="6" t="n">
        <v>358</v>
      </c>
      <c r="H76" s="6" t="n">
        <v>515.76</v>
      </c>
      <c r="I76" s="7" t="n">
        <v>0.09</v>
      </c>
      <c r="J76" s="6" t="n">
        <f aca="false">ROUND(H76*I76,2)</f>
        <v>46.42</v>
      </c>
      <c r="K76" s="7" t="n">
        <v>0.09</v>
      </c>
      <c r="L76" s="6" t="n">
        <f aca="false">ROUND(H76*K76,2)</f>
        <v>46.42</v>
      </c>
      <c r="M76" s="6" t="n">
        <f aca="false">H76+J76+L76</f>
        <v>608.6</v>
      </c>
      <c r="N76" s="6" t="n">
        <f aca="false">G76*E76</f>
        <v>716</v>
      </c>
      <c r="O76" s="6" t="n">
        <f aca="false">ROUND(N76*0.85/1.18,2)</f>
        <v>515.76</v>
      </c>
      <c r="P76" s="6" t="n">
        <f aca="false">ROUND(O76-H76,2)</f>
        <v>0</v>
      </c>
      <c r="Q76" s="5" t="n">
        <v>3</v>
      </c>
      <c r="R76" s="5" t="s">
        <v>23</v>
      </c>
      <c r="S76" s="6" t="n">
        <f aca="false">ROUND(H76/E76,2)</f>
        <v>257.88</v>
      </c>
    </row>
    <row r="77" customFormat="false" ht="15" hidden="false" customHeight="true" outlineLevel="0" collapsed="false">
      <c r="A77" s="4" t="n">
        <v>76</v>
      </c>
      <c r="B77" s="4" t="s">
        <v>183</v>
      </c>
      <c r="C77" s="4" t="s">
        <v>184</v>
      </c>
      <c r="D77" s="5" t="s">
        <v>21</v>
      </c>
      <c r="E77" s="5" t="n">
        <v>2</v>
      </c>
      <c r="F77" s="5" t="s">
        <v>22</v>
      </c>
      <c r="G77" s="6" t="n">
        <v>168</v>
      </c>
      <c r="H77" s="6" t="n">
        <v>242.03</v>
      </c>
      <c r="I77" s="7" t="n">
        <v>0.09</v>
      </c>
      <c r="J77" s="6" t="n">
        <f aca="false">ROUND(H77*I77,2)</f>
        <v>21.78</v>
      </c>
      <c r="K77" s="7" t="n">
        <v>0.09</v>
      </c>
      <c r="L77" s="6" t="n">
        <f aca="false">ROUND(H77*K77,2)</f>
        <v>21.78</v>
      </c>
      <c r="M77" s="6" t="n">
        <f aca="false">H77+J77+L77</f>
        <v>285.59</v>
      </c>
      <c r="N77" s="6" t="n">
        <f aca="false">G77*E77</f>
        <v>336</v>
      </c>
      <c r="O77" s="6" t="n">
        <f aca="false">ROUND(N77*0.85/1.18,2)</f>
        <v>242.03</v>
      </c>
      <c r="P77" s="6" t="n">
        <f aca="false">ROUND(O77-H77,2)</f>
        <v>0</v>
      </c>
      <c r="Q77" s="5" t="n">
        <v>3</v>
      </c>
      <c r="R77" s="5" t="s">
        <v>23</v>
      </c>
      <c r="S77" s="6" t="n">
        <f aca="false">ROUND(H77/E77,2)</f>
        <v>121.02</v>
      </c>
    </row>
    <row r="78" customFormat="false" ht="15" hidden="false" customHeight="true" outlineLevel="0" collapsed="false">
      <c r="A78" s="4" t="n">
        <v>77</v>
      </c>
      <c r="B78" s="4" t="s">
        <v>185</v>
      </c>
      <c r="C78" s="4" t="s">
        <v>186</v>
      </c>
      <c r="D78" s="5" t="s">
        <v>21</v>
      </c>
      <c r="E78" s="5" t="n">
        <v>1</v>
      </c>
      <c r="F78" s="5" t="s">
        <v>22</v>
      </c>
      <c r="G78" s="6" t="n">
        <v>243</v>
      </c>
      <c r="H78" s="6" t="n">
        <v>175.04</v>
      </c>
      <c r="I78" s="7" t="n">
        <v>0.09</v>
      </c>
      <c r="J78" s="6" t="n">
        <f aca="false">ROUND(H78*I78,2)</f>
        <v>15.75</v>
      </c>
      <c r="K78" s="7" t="n">
        <v>0.09</v>
      </c>
      <c r="L78" s="6" t="n">
        <f aca="false">ROUND(H78*K78,2)</f>
        <v>15.75</v>
      </c>
      <c r="M78" s="6" t="n">
        <f aca="false">H78+J78+L78</f>
        <v>206.54</v>
      </c>
      <c r="N78" s="6" t="n">
        <f aca="false">G78*E78</f>
        <v>243</v>
      </c>
      <c r="O78" s="6" t="n">
        <f aca="false">ROUND(N78*0.85/1.18,2)</f>
        <v>175.04</v>
      </c>
      <c r="P78" s="6" t="n">
        <f aca="false">ROUND(O78-H78,2)</f>
        <v>0</v>
      </c>
      <c r="Q78" s="5" t="n">
        <v>3</v>
      </c>
      <c r="R78" s="5" t="s">
        <v>23</v>
      </c>
      <c r="S78" s="6" t="n">
        <f aca="false">ROUND(H78/E78,2)</f>
        <v>175.04</v>
      </c>
    </row>
    <row r="79" customFormat="false" ht="15" hidden="false" customHeight="true" outlineLevel="0" collapsed="false">
      <c r="A79" s="4" t="n">
        <v>78</v>
      </c>
      <c r="B79" s="4" t="s">
        <v>187</v>
      </c>
      <c r="C79" s="4" t="s">
        <v>188</v>
      </c>
      <c r="D79" s="5" t="s">
        <v>21</v>
      </c>
      <c r="E79" s="5" t="n">
        <v>1</v>
      </c>
      <c r="F79" s="5" t="s">
        <v>22</v>
      </c>
      <c r="G79" s="6" t="n">
        <v>372</v>
      </c>
      <c r="H79" s="6" t="n">
        <v>267.97</v>
      </c>
      <c r="I79" s="7" t="n">
        <v>0.09</v>
      </c>
      <c r="J79" s="6" t="n">
        <f aca="false">ROUND(H79*I79,2)</f>
        <v>24.12</v>
      </c>
      <c r="K79" s="7" t="n">
        <v>0.09</v>
      </c>
      <c r="L79" s="6" t="n">
        <f aca="false">ROUND(H79*K79,2)</f>
        <v>24.12</v>
      </c>
      <c r="M79" s="6" t="n">
        <f aca="false">H79+J79+L79</f>
        <v>316.21</v>
      </c>
      <c r="N79" s="6" t="n">
        <f aca="false">G79*E79</f>
        <v>372</v>
      </c>
      <c r="O79" s="6" t="n">
        <f aca="false">ROUND(N79*0.85/1.18,2)</f>
        <v>267.97</v>
      </c>
      <c r="P79" s="6" t="n">
        <f aca="false">ROUND(O79-H79,2)</f>
        <v>0</v>
      </c>
      <c r="Q79" s="5" t="n">
        <v>3</v>
      </c>
      <c r="R79" s="5" t="s">
        <v>23</v>
      </c>
      <c r="S79" s="6" t="n">
        <f aca="false">ROUND(H79/E79,2)</f>
        <v>267.97</v>
      </c>
    </row>
    <row r="80" customFormat="false" ht="15" hidden="false" customHeight="true" outlineLevel="0" collapsed="false">
      <c r="A80" s="4" t="n">
        <v>79</v>
      </c>
      <c r="B80" s="4" t="s">
        <v>189</v>
      </c>
      <c r="C80" s="4" t="s">
        <v>190</v>
      </c>
      <c r="D80" s="5" t="s">
        <v>191</v>
      </c>
      <c r="E80" s="5" t="n">
        <v>1</v>
      </c>
      <c r="F80" s="5" t="s">
        <v>22</v>
      </c>
      <c r="G80" s="6" t="n">
        <v>946</v>
      </c>
      <c r="H80" s="6" t="n">
        <v>681.44</v>
      </c>
      <c r="I80" s="7" t="n">
        <v>0.09</v>
      </c>
      <c r="J80" s="6" t="n">
        <f aca="false">ROUND(H80*I80,2)</f>
        <v>61.33</v>
      </c>
      <c r="K80" s="7" t="n">
        <v>0.09</v>
      </c>
      <c r="L80" s="6" t="n">
        <f aca="false">ROUND(H80*K80,2)</f>
        <v>61.33</v>
      </c>
      <c r="M80" s="6" t="n">
        <f aca="false">H80+J80+L80</f>
        <v>804.1</v>
      </c>
      <c r="N80" s="6" t="n">
        <f aca="false">G80*E80</f>
        <v>946</v>
      </c>
      <c r="O80" s="6" t="n">
        <f aca="false">ROUND(N80*0.85/1.18,2)</f>
        <v>681.44</v>
      </c>
      <c r="P80" s="6" t="n">
        <f aca="false">ROUND(O80-H80,2)</f>
        <v>0</v>
      </c>
      <c r="Q80" s="5" t="n">
        <v>3</v>
      </c>
      <c r="R80" s="5" t="s">
        <v>23</v>
      </c>
      <c r="S80" s="6" t="n">
        <f aca="false">ROUND(H80/E80,2)</f>
        <v>681.44</v>
      </c>
    </row>
    <row r="81" customFormat="false" ht="15" hidden="false" customHeight="true" outlineLevel="0" collapsed="false">
      <c r="A81" s="4" t="n">
        <v>80</v>
      </c>
      <c r="B81" s="4" t="s">
        <v>192</v>
      </c>
      <c r="C81" s="4" t="s">
        <v>193</v>
      </c>
      <c r="D81" s="5" t="s">
        <v>21</v>
      </c>
      <c r="E81" s="5" t="n">
        <v>5</v>
      </c>
      <c r="F81" s="5" t="s">
        <v>22</v>
      </c>
      <c r="G81" s="6" t="n">
        <v>123</v>
      </c>
      <c r="H81" s="6" t="n">
        <v>443.01</v>
      </c>
      <c r="I81" s="7" t="n">
        <v>0.09</v>
      </c>
      <c r="J81" s="6" t="n">
        <f aca="false">ROUND(H81*I81,2)</f>
        <v>39.87</v>
      </c>
      <c r="K81" s="7" t="n">
        <v>0.09</v>
      </c>
      <c r="L81" s="6" t="n">
        <f aca="false">ROUND(H81*K81,2)</f>
        <v>39.87</v>
      </c>
      <c r="M81" s="6" t="n">
        <f aca="false">H81+J81+L81</f>
        <v>522.75</v>
      </c>
      <c r="N81" s="6" t="n">
        <f aca="false">G81*E81</f>
        <v>615</v>
      </c>
      <c r="O81" s="6" t="n">
        <f aca="false">ROUND(N81*0.85/1.18,2)</f>
        <v>443.01</v>
      </c>
      <c r="P81" s="6" t="n">
        <f aca="false">ROUND(O81-H81,2)</f>
        <v>0</v>
      </c>
      <c r="Q81" s="5" t="n">
        <v>3</v>
      </c>
      <c r="R81" s="5" t="s">
        <v>23</v>
      </c>
      <c r="S81" s="6" t="n">
        <f aca="false">ROUND(H81/E81,2)</f>
        <v>88.6</v>
      </c>
    </row>
    <row r="82" customFormat="false" ht="15" hidden="false" customHeight="true" outlineLevel="0" collapsed="false">
      <c r="A82" s="4" t="n">
        <v>81</v>
      </c>
      <c r="B82" s="4" t="s">
        <v>194</v>
      </c>
      <c r="C82" s="4" t="s">
        <v>195</v>
      </c>
      <c r="D82" s="5" t="s">
        <v>73</v>
      </c>
      <c r="E82" s="5" t="n">
        <v>1</v>
      </c>
      <c r="F82" s="5" t="s">
        <v>22</v>
      </c>
      <c r="G82" s="6" t="n">
        <v>373</v>
      </c>
      <c r="H82" s="6" t="n">
        <v>268.69</v>
      </c>
      <c r="I82" s="7" t="n">
        <v>0.09</v>
      </c>
      <c r="J82" s="6" t="n">
        <f aca="false">ROUND(H82*I82,2)</f>
        <v>24.18</v>
      </c>
      <c r="K82" s="7" t="n">
        <v>0.09</v>
      </c>
      <c r="L82" s="6" t="n">
        <f aca="false">ROUND(H82*K82,2)</f>
        <v>24.18</v>
      </c>
      <c r="M82" s="6" t="n">
        <f aca="false">H82+J82+L82</f>
        <v>317.05</v>
      </c>
      <c r="N82" s="6" t="n">
        <f aca="false">G82*E82</f>
        <v>373</v>
      </c>
      <c r="O82" s="6" t="n">
        <f aca="false">ROUND(N82*0.85/1.18,2)</f>
        <v>268.69</v>
      </c>
      <c r="P82" s="6" t="n">
        <f aca="false">ROUND(O82-H82,2)</f>
        <v>0</v>
      </c>
      <c r="Q82" s="5" t="n">
        <v>3</v>
      </c>
      <c r="R82" s="5" t="s">
        <v>23</v>
      </c>
      <c r="S82" s="6" t="n">
        <f aca="false">ROUND(H82/E82,2)</f>
        <v>268.69</v>
      </c>
    </row>
    <row r="83" customFormat="false" ht="15" hidden="false" customHeight="true" outlineLevel="0" collapsed="false">
      <c r="A83" s="4" t="n">
        <v>82</v>
      </c>
      <c r="B83" s="4" t="s">
        <v>196</v>
      </c>
      <c r="C83" s="4" t="s">
        <v>197</v>
      </c>
      <c r="D83" s="5" t="s">
        <v>191</v>
      </c>
      <c r="E83" s="5" t="n">
        <v>1</v>
      </c>
      <c r="F83" s="5" t="s">
        <v>22</v>
      </c>
      <c r="G83" s="6" t="n">
        <v>1070</v>
      </c>
      <c r="H83" s="6" t="n">
        <v>770.76</v>
      </c>
      <c r="I83" s="7" t="n">
        <v>0.09</v>
      </c>
      <c r="J83" s="6" t="n">
        <f aca="false">ROUND(H83*I83,2)</f>
        <v>69.37</v>
      </c>
      <c r="K83" s="7" t="n">
        <v>0.09</v>
      </c>
      <c r="L83" s="6" t="n">
        <f aca="false">ROUND(H83*K83,2)</f>
        <v>69.37</v>
      </c>
      <c r="M83" s="6" t="n">
        <f aca="false">H83+J83+L83</f>
        <v>909.5</v>
      </c>
      <c r="N83" s="6" t="n">
        <f aca="false">G83*E83</f>
        <v>1070</v>
      </c>
      <c r="O83" s="6" t="n">
        <f aca="false">ROUND(N83*0.85/1.18,2)</f>
        <v>770.76</v>
      </c>
      <c r="P83" s="6" t="n">
        <f aca="false">ROUND(O83-H83,2)</f>
        <v>0</v>
      </c>
      <c r="Q83" s="5" t="n">
        <v>3</v>
      </c>
      <c r="R83" s="5" t="s">
        <v>23</v>
      </c>
      <c r="S83" s="6" t="n">
        <f aca="false">ROUND(H83/E83,2)</f>
        <v>770.76</v>
      </c>
    </row>
    <row r="84" customFormat="false" ht="15" hidden="false" customHeight="true" outlineLevel="0" collapsed="false">
      <c r="A84" s="4" t="n">
        <v>83</v>
      </c>
      <c r="B84" s="4" t="s">
        <v>198</v>
      </c>
      <c r="C84" s="4" t="s">
        <v>199</v>
      </c>
      <c r="D84" s="5" t="s">
        <v>191</v>
      </c>
      <c r="E84" s="5" t="n">
        <v>1</v>
      </c>
      <c r="F84" s="5" t="s">
        <v>22</v>
      </c>
      <c r="G84" s="6" t="n">
        <v>1495</v>
      </c>
      <c r="H84" s="6" t="n">
        <v>1076.91</v>
      </c>
      <c r="I84" s="7" t="n">
        <v>0.09</v>
      </c>
      <c r="J84" s="6" t="n">
        <f aca="false">ROUND(H84*I84,2)</f>
        <v>96.92</v>
      </c>
      <c r="K84" s="7" t="n">
        <v>0.09</v>
      </c>
      <c r="L84" s="6" t="n">
        <f aca="false">ROUND(H84*K84,2)</f>
        <v>96.92</v>
      </c>
      <c r="M84" s="6" t="n">
        <f aca="false">H84+J84+L84</f>
        <v>1270.75</v>
      </c>
      <c r="N84" s="6" t="n">
        <f aca="false">G84*E84</f>
        <v>1495</v>
      </c>
      <c r="O84" s="6" t="n">
        <f aca="false">ROUND(N84*0.85/1.18,2)</f>
        <v>1076.91</v>
      </c>
      <c r="P84" s="6" t="n">
        <f aca="false">ROUND(O84-H84,2)</f>
        <v>0</v>
      </c>
      <c r="Q84" s="5" t="n">
        <v>3</v>
      </c>
      <c r="R84" s="5" t="s">
        <v>23</v>
      </c>
      <c r="S84" s="6" t="n">
        <f aca="false">ROUND(H84/E84,2)</f>
        <v>1076.91</v>
      </c>
    </row>
    <row r="85" customFormat="false" ht="15" hidden="false" customHeight="true" outlineLevel="0" collapsed="false">
      <c r="A85" s="4" t="n">
        <v>84</v>
      </c>
      <c r="B85" s="4" t="s">
        <v>200</v>
      </c>
      <c r="C85" s="4" t="s">
        <v>201</v>
      </c>
      <c r="D85" s="5" t="s">
        <v>21</v>
      </c>
      <c r="E85" s="5" t="n">
        <v>6</v>
      </c>
      <c r="F85" s="5" t="s">
        <v>22</v>
      </c>
      <c r="G85" s="6" t="n">
        <v>147</v>
      </c>
      <c r="H85" s="6" t="n">
        <v>635.34</v>
      </c>
      <c r="I85" s="7" t="n">
        <v>0.09</v>
      </c>
      <c r="J85" s="6" t="n">
        <f aca="false">ROUND(H85*I85,2)</f>
        <v>57.18</v>
      </c>
      <c r="K85" s="7" t="n">
        <v>0.09</v>
      </c>
      <c r="L85" s="6" t="n">
        <f aca="false">ROUND(H85*K85,2)</f>
        <v>57.18</v>
      </c>
      <c r="M85" s="6" t="n">
        <f aca="false">H85+J85+L85</f>
        <v>749.7</v>
      </c>
      <c r="N85" s="6" t="n">
        <f aca="false">G85*E85</f>
        <v>882</v>
      </c>
      <c r="O85" s="6" t="n">
        <f aca="false">ROUND(N85*0.85/1.18,2)</f>
        <v>635.34</v>
      </c>
      <c r="P85" s="6" t="n">
        <f aca="false">ROUND(O85-H85,2)</f>
        <v>0</v>
      </c>
      <c r="Q85" s="5" t="n">
        <v>3</v>
      </c>
      <c r="R85" s="5" t="s">
        <v>23</v>
      </c>
      <c r="S85" s="6" t="n">
        <f aca="false">ROUND(H85/E85,2)</f>
        <v>105.89</v>
      </c>
    </row>
    <row r="86" customFormat="false" ht="15" hidden="false" customHeight="true" outlineLevel="0" collapsed="false">
      <c r="A86" s="4" t="n">
        <v>85</v>
      </c>
      <c r="B86" s="4" t="s">
        <v>202</v>
      </c>
      <c r="C86" s="4" t="s">
        <v>203</v>
      </c>
      <c r="D86" s="5" t="s">
        <v>21</v>
      </c>
      <c r="E86" s="5" t="n">
        <v>1</v>
      </c>
      <c r="F86" s="5" t="s">
        <v>22</v>
      </c>
      <c r="G86" s="6" t="n">
        <v>1954</v>
      </c>
      <c r="H86" s="6" t="n">
        <v>1407.54</v>
      </c>
      <c r="I86" s="7" t="n">
        <v>0.09</v>
      </c>
      <c r="J86" s="6" t="n">
        <f aca="false">ROUND(H86*I86,2)</f>
        <v>126.68</v>
      </c>
      <c r="K86" s="7" t="n">
        <v>0.09</v>
      </c>
      <c r="L86" s="6" t="n">
        <f aca="false">ROUND(H86*K86,2)</f>
        <v>126.68</v>
      </c>
      <c r="M86" s="6" t="n">
        <f aca="false">H86+J86+L86</f>
        <v>1660.9</v>
      </c>
      <c r="N86" s="6" t="n">
        <f aca="false">G86*E86</f>
        <v>1954</v>
      </c>
      <c r="O86" s="6" t="n">
        <f aca="false">ROUND(N86*0.85/1.18,2)</f>
        <v>1407.54</v>
      </c>
      <c r="P86" s="6" t="n">
        <f aca="false">ROUND(O86-H86,2)</f>
        <v>0</v>
      </c>
      <c r="Q86" s="5" t="n">
        <v>3</v>
      </c>
      <c r="R86" s="5" t="s">
        <v>23</v>
      </c>
      <c r="S86" s="6" t="n">
        <f aca="false">ROUND(H86/E86,2)</f>
        <v>1407.54</v>
      </c>
    </row>
    <row r="87" customFormat="false" ht="15" hidden="false" customHeight="true" outlineLevel="0" collapsed="false">
      <c r="A87" s="4" t="n">
        <v>86</v>
      </c>
      <c r="B87" s="4" t="s">
        <v>204</v>
      </c>
      <c r="C87" s="4" t="s">
        <v>205</v>
      </c>
      <c r="D87" s="5" t="s">
        <v>21</v>
      </c>
      <c r="E87" s="5" t="n">
        <v>6</v>
      </c>
      <c r="F87" s="5" t="s">
        <v>22</v>
      </c>
      <c r="G87" s="6" t="n">
        <v>83</v>
      </c>
      <c r="H87" s="6" t="n">
        <v>358.73</v>
      </c>
      <c r="I87" s="7" t="n">
        <v>0.09</v>
      </c>
      <c r="J87" s="6" t="n">
        <f aca="false">ROUND(H87*I87,2)</f>
        <v>32.29</v>
      </c>
      <c r="K87" s="7" t="n">
        <v>0.09</v>
      </c>
      <c r="L87" s="6" t="n">
        <f aca="false">ROUND(H87*K87,2)</f>
        <v>32.29</v>
      </c>
      <c r="M87" s="6" t="n">
        <f aca="false">H87+J87+L87</f>
        <v>423.31</v>
      </c>
      <c r="N87" s="6" t="n">
        <f aca="false">G87*E87</f>
        <v>498</v>
      </c>
      <c r="O87" s="6" t="n">
        <f aca="false">ROUND(N87*0.85/1.18,2)</f>
        <v>358.73</v>
      </c>
      <c r="P87" s="6" t="n">
        <f aca="false">ROUND(O87-H87,2)</f>
        <v>0</v>
      </c>
      <c r="Q87" s="5" t="n">
        <v>3</v>
      </c>
      <c r="R87" s="5" t="s">
        <v>23</v>
      </c>
      <c r="S87" s="6" t="n">
        <f aca="false">ROUND(H87/E87,2)</f>
        <v>59.79</v>
      </c>
    </row>
    <row r="88" customFormat="false" ht="15" hidden="false" customHeight="true" outlineLevel="0" collapsed="false">
      <c r="A88" s="4" t="n">
        <v>87</v>
      </c>
      <c r="B88" s="4" t="s">
        <v>206</v>
      </c>
      <c r="C88" s="4" t="s">
        <v>207</v>
      </c>
      <c r="D88" s="5" t="s">
        <v>21</v>
      </c>
      <c r="E88" s="5" t="n">
        <v>1</v>
      </c>
      <c r="F88" s="5" t="s">
        <v>22</v>
      </c>
      <c r="G88" s="6" t="n">
        <v>343</v>
      </c>
      <c r="H88" s="6" t="n">
        <v>247.08</v>
      </c>
      <c r="I88" s="7" t="n">
        <v>0.09</v>
      </c>
      <c r="J88" s="6" t="n">
        <f aca="false">ROUND(H88*I88,2)</f>
        <v>22.24</v>
      </c>
      <c r="K88" s="7" t="n">
        <v>0.09</v>
      </c>
      <c r="L88" s="6" t="n">
        <f aca="false">ROUND(H88*K88,2)</f>
        <v>22.24</v>
      </c>
      <c r="M88" s="6" t="n">
        <f aca="false">H88+J88+L88</f>
        <v>291.56</v>
      </c>
      <c r="N88" s="6" t="n">
        <f aca="false">G88*E88</f>
        <v>343</v>
      </c>
      <c r="O88" s="6" t="n">
        <f aca="false">ROUND(N88*0.85/1.18,2)</f>
        <v>247.08</v>
      </c>
      <c r="P88" s="6" t="n">
        <f aca="false">ROUND(O88-H88,2)</f>
        <v>0</v>
      </c>
      <c r="Q88" s="5" t="n">
        <v>3</v>
      </c>
      <c r="R88" s="5" t="s">
        <v>23</v>
      </c>
      <c r="S88" s="6" t="n">
        <f aca="false">ROUND(H88/E88,2)</f>
        <v>247.08</v>
      </c>
    </row>
    <row r="89" customFormat="false" ht="15" hidden="false" customHeight="true" outlineLevel="0" collapsed="false">
      <c r="A89" s="4" t="n">
        <v>88</v>
      </c>
      <c r="B89" s="4" t="s">
        <v>208</v>
      </c>
      <c r="C89" s="4" t="s">
        <v>209</v>
      </c>
      <c r="D89" s="5" t="s">
        <v>21</v>
      </c>
      <c r="E89" s="5" t="n">
        <v>6</v>
      </c>
      <c r="F89" s="5" t="s">
        <v>22</v>
      </c>
      <c r="G89" s="6" t="n">
        <v>1052</v>
      </c>
      <c r="H89" s="6" t="n">
        <v>4546.78</v>
      </c>
      <c r="I89" s="7" t="n">
        <v>0.09</v>
      </c>
      <c r="J89" s="6" t="n">
        <f aca="false">ROUND(H89*I89,2)</f>
        <v>409.21</v>
      </c>
      <c r="K89" s="7" t="n">
        <v>0.09</v>
      </c>
      <c r="L89" s="6" t="n">
        <f aca="false">ROUND(H89*K89,2)</f>
        <v>409.21</v>
      </c>
      <c r="M89" s="6" t="n">
        <f aca="false">H89+J89+L89</f>
        <v>5365.2</v>
      </c>
      <c r="N89" s="6" t="n">
        <f aca="false">G89*E89</f>
        <v>6312</v>
      </c>
      <c r="O89" s="6" t="n">
        <f aca="false">ROUND(N89*0.85/1.18,2)</f>
        <v>4546.78</v>
      </c>
      <c r="P89" s="6" t="n">
        <f aca="false">ROUND(O89-H89,2)</f>
        <v>0</v>
      </c>
      <c r="Q89" s="5" t="n">
        <v>3</v>
      </c>
      <c r="R89" s="5" t="s">
        <v>23</v>
      </c>
      <c r="S89" s="6" t="n">
        <f aca="false">ROUND(H89/E89,2)</f>
        <v>757.8</v>
      </c>
    </row>
    <row r="90" customFormat="false" ht="15" hidden="false" customHeight="true" outlineLevel="0" collapsed="false">
      <c r="A90" s="4" t="n">
        <v>89</v>
      </c>
      <c r="B90" s="4" t="s">
        <v>210</v>
      </c>
      <c r="C90" s="4" t="s">
        <v>211</v>
      </c>
      <c r="D90" s="5" t="s">
        <v>21</v>
      </c>
      <c r="E90" s="5" t="n">
        <v>1</v>
      </c>
      <c r="F90" s="5" t="s">
        <v>22</v>
      </c>
      <c r="G90" s="6" t="n">
        <v>293</v>
      </c>
      <c r="H90" s="6" t="n">
        <v>211.06</v>
      </c>
      <c r="I90" s="7" t="n">
        <v>0.09</v>
      </c>
      <c r="J90" s="6" t="n">
        <f aca="false">ROUND(H90*I90,2)</f>
        <v>19</v>
      </c>
      <c r="K90" s="7" t="n">
        <v>0.09</v>
      </c>
      <c r="L90" s="6" t="n">
        <f aca="false">ROUND(H90*K90,2)</f>
        <v>19</v>
      </c>
      <c r="M90" s="6" t="n">
        <f aca="false">H90+J90+L90</f>
        <v>249.06</v>
      </c>
      <c r="N90" s="6" t="n">
        <f aca="false">G90*E90</f>
        <v>293</v>
      </c>
      <c r="O90" s="6" t="n">
        <f aca="false">ROUND(N90*0.85/1.18,2)</f>
        <v>211.06</v>
      </c>
      <c r="P90" s="6" t="n">
        <f aca="false">ROUND(O90-H90,2)</f>
        <v>0</v>
      </c>
      <c r="Q90" s="5" t="n">
        <v>3</v>
      </c>
      <c r="R90" s="5" t="s">
        <v>23</v>
      </c>
      <c r="S90" s="6" t="n">
        <f aca="false">ROUND(H90/E90,2)</f>
        <v>211.06</v>
      </c>
    </row>
    <row r="91" customFormat="false" ht="15" hidden="false" customHeight="true" outlineLevel="0" collapsed="false">
      <c r="A91" s="4" t="n">
        <v>90</v>
      </c>
      <c r="B91" s="4" t="s">
        <v>212</v>
      </c>
      <c r="C91" s="4" t="s">
        <v>20</v>
      </c>
      <c r="D91" s="5" t="s">
        <v>21</v>
      </c>
      <c r="E91" s="5" t="n">
        <v>1</v>
      </c>
      <c r="F91" s="5" t="s">
        <v>22</v>
      </c>
      <c r="G91" s="6" t="n">
        <v>284</v>
      </c>
      <c r="H91" s="6" t="n">
        <v>204.58</v>
      </c>
      <c r="I91" s="7" t="n">
        <v>0.09</v>
      </c>
      <c r="J91" s="6" t="n">
        <f aca="false">ROUND(H91*I91,2)</f>
        <v>18.41</v>
      </c>
      <c r="K91" s="7" t="n">
        <v>0.09</v>
      </c>
      <c r="L91" s="6" t="n">
        <f aca="false">ROUND(H91*K91,2)</f>
        <v>18.41</v>
      </c>
      <c r="M91" s="6" t="n">
        <f aca="false">H91+J91+L91</f>
        <v>241.4</v>
      </c>
      <c r="N91" s="6" t="n">
        <f aca="false">G91*E91</f>
        <v>284</v>
      </c>
      <c r="O91" s="6" t="n">
        <f aca="false">ROUND(N91*0.85/1.18,2)</f>
        <v>204.58</v>
      </c>
      <c r="P91" s="6" t="n">
        <f aca="false">ROUND(O91-H91,2)</f>
        <v>0</v>
      </c>
      <c r="Q91" s="5" t="n">
        <v>3</v>
      </c>
      <c r="R91" s="5" t="s">
        <v>23</v>
      </c>
      <c r="S91" s="6" t="n">
        <f aca="false">ROUND(H91/E91,2)</f>
        <v>204.58</v>
      </c>
    </row>
    <row r="92" customFormat="false" ht="15" hidden="false" customHeight="true" outlineLevel="0" collapsed="false">
      <c r="A92" s="4" t="n">
        <v>91</v>
      </c>
      <c r="B92" s="4" t="s">
        <v>213</v>
      </c>
      <c r="C92" s="4" t="s">
        <v>214</v>
      </c>
      <c r="D92" s="5" t="s">
        <v>73</v>
      </c>
      <c r="E92" s="5" t="n">
        <v>2</v>
      </c>
      <c r="F92" s="5" t="s">
        <v>22</v>
      </c>
      <c r="G92" s="6" t="n">
        <v>359</v>
      </c>
      <c r="H92" s="6" t="n">
        <v>517.2</v>
      </c>
      <c r="I92" s="7" t="n">
        <v>0.09</v>
      </c>
      <c r="J92" s="6" t="n">
        <f aca="false">ROUND(H92*I92,2)</f>
        <v>46.55</v>
      </c>
      <c r="K92" s="7" t="n">
        <v>0.09</v>
      </c>
      <c r="L92" s="6" t="n">
        <f aca="false">ROUND(H92*K92,2)</f>
        <v>46.55</v>
      </c>
      <c r="M92" s="6" t="n">
        <f aca="false">H92+J92+L92</f>
        <v>610.3</v>
      </c>
      <c r="N92" s="6" t="n">
        <f aca="false">G92*E92</f>
        <v>718</v>
      </c>
      <c r="O92" s="6" t="n">
        <f aca="false">ROUND(N92*0.85/1.18,2)</f>
        <v>517.2</v>
      </c>
      <c r="P92" s="6" t="n">
        <f aca="false">ROUND(O92-H92,2)</f>
        <v>0</v>
      </c>
      <c r="Q92" s="5" t="n">
        <v>3</v>
      </c>
      <c r="R92" s="5" t="s">
        <v>23</v>
      </c>
      <c r="S92" s="6" t="n">
        <f aca="false">ROUND(H92/E92,2)</f>
        <v>258.6</v>
      </c>
    </row>
    <row r="93" customFormat="false" ht="15" hidden="false" customHeight="true" outlineLevel="0" collapsed="false">
      <c r="A93" s="4" t="n">
        <v>92</v>
      </c>
      <c r="B93" s="4" t="s">
        <v>215</v>
      </c>
      <c r="C93" s="4" t="s">
        <v>216</v>
      </c>
      <c r="D93" s="5" t="s">
        <v>97</v>
      </c>
      <c r="E93" s="5" t="n">
        <v>2</v>
      </c>
      <c r="F93" s="5" t="s">
        <v>22</v>
      </c>
      <c r="G93" s="6" t="n">
        <v>136</v>
      </c>
      <c r="H93" s="6" t="n">
        <v>195.93</v>
      </c>
      <c r="I93" s="7" t="n">
        <v>0.09</v>
      </c>
      <c r="J93" s="6" t="n">
        <f aca="false">ROUND(H93*I93,2)</f>
        <v>17.63</v>
      </c>
      <c r="K93" s="7" t="n">
        <v>0.09</v>
      </c>
      <c r="L93" s="6" t="n">
        <f aca="false">ROUND(H93*K93,2)</f>
        <v>17.63</v>
      </c>
      <c r="M93" s="6" t="n">
        <f aca="false">H93+J93+L93</f>
        <v>231.19</v>
      </c>
      <c r="N93" s="6" t="n">
        <f aca="false">G93*E93</f>
        <v>272</v>
      </c>
      <c r="O93" s="6" t="n">
        <f aca="false">ROUND(N93*0.85/1.18,2)</f>
        <v>195.93</v>
      </c>
      <c r="P93" s="6" t="n">
        <f aca="false">ROUND(O93-H93,2)</f>
        <v>0</v>
      </c>
      <c r="Q93" s="5" t="n">
        <v>3</v>
      </c>
      <c r="R93" s="5" t="s">
        <v>23</v>
      </c>
      <c r="S93" s="6" t="n">
        <f aca="false">ROUND(H93/E93,2)</f>
        <v>97.97</v>
      </c>
    </row>
    <row r="94" customFormat="false" ht="15" hidden="false" customHeight="true" outlineLevel="0" collapsed="false">
      <c r="A94" s="4" t="n">
        <v>93</v>
      </c>
      <c r="B94" s="4" t="s">
        <v>217</v>
      </c>
      <c r="C94" s="4" t="s">
        <v>218</v>
      </c>
      <c r="D94" s="5" t="s">
        <v>219</v>
      </c>
      <c r="E94" s="5" t="n">
        <v>5</v>
      </c>
      <c r="F94" s="5" t="s">
        <v>22</v>
      </c>
      <c r="G94" s="6" t="n">
        <v>162</v>
      </c>
      <c r="H94" s="6" t="n">
        <v>583.47</v>
      </c>
      <c r="I94" s="7" t="n">
        <v>0.09</v>
      </c>
      <c r="J94" s="6" t="n">
        <f aca="false">ROUND(H94*I94,2)</f>
        <v>52.51</v>
      </c>
      <c r="K94" s="7" t="n">
        <v>0.09</v>
      </c>
      <c r="L94" s="6" t="n">
        <f aca="false">ROUND(H94*K94,2)</f>
        <v>52.51</v>
      </c>
      <c r="M94" s="6" t="n">
        <f aca="false">H94+J94+L94</f>
        <v>688.49</v>
      </c>
      <c r="N94" s="6" t="n">
        <f aca="false">G94*E94</f>
        <v>810</v>
      </c>
      <c r="O94" s="6" t="n">
        <f aca="false">ROUND(N94*0.85/1.18,2)</f>
        <v>583.47</v>
      </c>
      <c r="P94" s="6" t="n">
        <f aca="false">ROUND(O94-H94,2)</f>
        <v>0</v>
      </c>
      <c r="Q94" s="5" t="n">
        <v>3</v>
      </c>
      <c r="R94" s="5" t="s">
        <v>23</v>
      </c>
      <c r="S94" s="6" t="n">
        <f aca="false">ROUND(H94/E94,2)</f>
        <v>116.69</v>
      </c>
    </row>
    <row r="95" customFormat="false" ht="15" hidden="false" customHeight="true" outlineLevel="0" collapsed="false">
      <c r="A95" s="4" t="n">
        <v>94</v>
      </c>
      <c r="B95" s="4" t="s">
        <v>220</v>
      </c>
      <c r="C95" s="4" t="s">
        <v>221</v>
      </c>
      <c r="D95" s="5" t="s">
        <v>21</v>
      </c>
      <c r="E95" s="5" t="n">
        <v>5</v>
      </c>
      <c r="F95" s="5" t="s">
        <v>22</v>
      </c>
      <c r="G95" s="6" t="n">
        <v>130</v>
      </c>
      <c r="H95" s="6" t="n">
        <v>468.22</v>
      </c>
      <c r="I95" s="7" t="n">
        <v>0.09</v>
      </c>
      <c r="J95" s="6" t="n">
        <f aca="false">ROUND(H95*I95,2)</f>
        <v>42.14</v>
      </c>
      <c r="K95" s="7" t="n">
        <v>0.09</v>
      </c>
      <c r="L95" s="6" t="n">
        <f aca="false">ROUND(H95*K95,2)</f>
        <v>42.14</v>
      </c>
      <c r="M95" s="6" t="n">
        <f aca="false">H95+J95+L95</f>
        <v>552.5</v>
      </c>
      <c r="N95" s="6" t="n">
        <f aca="false">G95*E95</f>
        <v>650</v>
      </c>
      <c r="O95" s="6" t="n">
        <f aca="false">ROUND(N95*0.85/1.18,2)</f>
        <v>468.22</v>
      </c>
      <c r="P95" s="6" t="n">
        <f aca="false">ROUND(O95-H95,2)</f>
        <v>0</v>
      </c>
      <c r="Q95" s="5" t="n">
        <v>3</v>
      </c>
      <c r="R95" s="5" t="s">
        <v>23</v>
      </c>
      <c r="S95" s="6" t="n">
        <f aca="false">ROUND(H95/E95,2)</f>
        <v>93.64</v>
      </c>
    </row>
    <row r="96" customFormat="false" ht="15" hidden="false" customHeight="true" outlineLevel="0" collapsed="false">
      <c r="A96" s="4" t="n">
        <v>95</v>
      </c>
      <c r="B96" s="4" t="s">
        <v>222</v>
      </c>
      <c r="C96" s="4" t="s">
        <v>223</v>
      </c>
      <c r="D96" s="5" t="s">
        <v>21</v>
      </c>
      <c r="E96" s="5" t="n">
        <v>1</v>
      </c>
      <c r="F96" s="5" t="s">
        <v>22</v>
      </c>
      <c r="G96" s="6" t="n">
        <v>3726</v>
      </c>
      <c r="H96" s="6" t="n">
        <v>2683.98</v>
      </c>
      <c r="I96" s="7" t="n">
        <v>0.09</v>
      </c>
      <c r="J96" s="6" t="n">
        <f aca="false">ROUND(H96*I96,2)</f>
        <v>241.56</v>
      </c>
      <c r="K96" s="7" t="n">
        <v>0.09</v>
      </c>
      <c r="L96" s="6" t="n">
        <f aca="false">ROUND(H96*K96,2)</f>
        <v>241.56</v>
      </c>
      <c r="M96" s="6" t="n">
        <f aca="false">H96+J96+L96</f>
        <v>3167.1</v>
      </c>
      <c r="N96" s="6" t="n">
        <f aca="false">G96*E96</f>
        <v>3726</v>
      </c>
      <c r="O96" s="6" t="n">
        <f aca="false">ROUND(N96*0.85/1.18,2)</f>
        <v>2683.98</v>
      </c>
      <c r="P96" s="6" t="n">
        <f aca="false">ROUND(O96-H96,2)</f>
        <v>0</v>
      </c>
      <c r="Q96" s="5" t="n">
        <v>4</v>
      </c>
      <c r="R96" s="5" t="s">
        <v>23</v>
      </c>
      <c r="S96" s="6" t="n">
        <f aca="false">ROUND(H96/E96,2)</f>
        <v>2683.98</v>
      </c>
    </row>
    <row r="97" customFormat="false" ht="15" hidden="false" customHeight="true" outlineLevel="0" collapsed="false">
      <c r="A97" s="4" t="n">
        <v>96</v>
      </c>
      <c r="B97" s="4" t="s">
        <v>224</v>
      </c>
      <c r="C97" s="4" t="s">
        <v>225</v>
      </c>
      <c r="D97" s="5" t="s">
        <v>21</v>
      </c>
      <c r="E97" s="5" t="n">
        <v>2</v>
      </c>
      <c r="F97" s="5" t="s">
        <v>22</v>
      </c>
      <c r="G97" s="6" t="n">
        <v>808</v>
      </c>
      <c r="H97" s="6" t="n">
        <v>1164.07</v>
      </c>
      <c r="I97" s="7" t="n">
        <v>0.09</v>
      </c>
      <c r="J97" s="6" t="n">
        <f aca="false">ROUND(H97*I97,2)</f>
        <v>104.77</v>
      </c>
      <c r="K97" s="7" t="n">
        <v>0.09</v>
      </c>
      <c r="L97" s="6" t="n">
        <f aca="false">ROUND(H97*K97,2)</f>
        <v>104.77</v>
      </c>
      <c r="M97" s="6" t="n">
        <f aca="false">H97+J97+L97</f>
        <v>1373.61</v>
      </c>
      <c r="N97" s="6" t="n">
        <f aca="false">G97*E97</f>
        <v>1616</v>
      </c>
      <c r="O97" s="6" t="n">
        <f aca="false">ROUND(N97*0.85/1.18,2)</f>
        <v>1164.07</v>
      </c>
      <c r="P97" s="6" t="n">
        <f aca="false">ROUND(O97-H97,2)</f>
        <v>0</v>
      </c>
      <c r="Q97" s="5" t="n">
        <v>4</v>
      </c>
      <c r="R97" s="5" t="s">
        <v>23</v>
      </c>
      <c r="S97" s="6" t="n">
        <f aca="false">ROUND(H97/E97,2)</f>
        <v>582.04</v>
      </c>
    </row>
    <row r="98" customFormat="false" ht="15" hidden="false" customHeight="true" outlineLevel="0" collapsed="false">
      <c r="A98" s="4" t="n">
        <v>97</v>
      </c>
      <c r="B98" s="4" t="s">
        <v>226</v>
      </c>
      <c r="C98" s="4" t="s">
        <v>227</v>
      </c>
      <c r="D98" s="5" t="s">
        <v>21</v>
      </c>
      <c r="E98" s="5" t="n">
        <v>1</v>
      </c>
      <c r="F98" s="5" t="s">
        <v>22</v>
      </c>
      <c r="G98" s="6" t="n">
        <v>1408</v>
      </c>
      <c r="H98" s="6" t="n">
        <v>1014.24</v>
      </c>
      <c r="I98" s="7" t="n">
        <v>0.09</v>
      </c>
      <c r="J98" s="6" t="n">
        <f aca="false">ROUND(H98*I98,2)</f>
        <v>91.28</v>
      </c>
      <c r="K98" s="7" t="n">
        <v>0.09</v>
      </c>
      <c r="L98" s="6" t="n">
        <f aca="false">ROUND(H98*K98,2)</f>
        <v>91.28</v>
      </c>
      <c r="M98" s="6" t="n">
        <f aca="false">H98+J98+L98</f>
        <v>1196.8</v>
      </c>
      <c r="N98" s="6" t="n">
        <f aca="false">G98*E98</f>
        <v>1408</v>
      </c>
      <c r="O98" s="6" t="n">
        <f aca="false">ROUND(N98*0.85/1.18,2)</f>
        <v>1014.24</v>
      </c>
      <c r="P98" s="6" t="n">
        <f aca="false">ROUND(O98-H98,2)</f>
        <v>0</v>
      </c>
      <c r="Q98" s="5" t="n">
        <v>4</v>
      </c>
      <c r="R98" s="5" t="s">
        <v>23</v>
      </c>
      <c r="S98" s="6" t="n">
        <f aca="false">ROUND(H98/E98,2)</f>
        <v>1014.24</v>
      </c>
    </row>
    <row r="99" customFormat="false" ht="15" hidden="false" customHeight="true" outlineLevel="0" collapsed="false">
      <c r="A99" s="4" t="n">
        <v>98</v>
      </c>
      <c r="B99" s="4" t="s">
        <v>228</v>
      </c>
      <c r="C99" s="4" t="s">
        <v>229</v>
      </c>
      <c r="D99" s="5" t="s">
        <v>230</v>
      </c>
      <c r="E99" s="5" t="n">
        <v>10</v>
      </c>
      <c r="F99" s="5" t="s">
        <v>22</v>
      </c>
      <c r="G99" s="6" t="n">
        <v>91</v>
      </c>
      <c r="H99" s="6" t="n">
        <v>655.51</v>
      </c>
      <c r="I99" s="7" t="n">
        <v>0.09</v>
      </c>
      <c r="J99" s="6" t="n">
        <f aca="false">ROUND(H99*I99,2)</f>
        <v>59</v>
      </c>
      <c r="K99" s="7" t="n">
        <v>0.09</v>
      </c>
      <c r="L99" s="6" t="n">
        <f aca="false">ROUND(H99*K99,2)</f>
        <v>59</v>
      </c>
      <c r="M99" s="6" t="n">
        <f aca="false">H99+J99+L99</f>
        <v>773.51</v>
      </c>
      <c r="N99" s="6" t="n">
        <f aca="false">G99*E99</f>
        <v>910</v>
      </c>
      <c r="O99" s="6" t="n">
        <f aca="false">ROUND(N99*0.85/1.18,2)</f>
        <v>655.51</v>
      </c>
      <c r="P99" s="6" t="n">
        <f aca="false">ROUND(O99-H99,2)</f>
        <v>0</v>
      </c>
      <c r="Q99" s="5" t="n">
        <v>4</v>
      </c>
      <c r="R99" s="5" t="s">
        <v>23</v>
      </c>
      <c r="S99" s="6" t="n">
        <f aca="false">ROUND(H99/E99,2)</f>
        <v>65.55</v>
      </c>
    </row>
    <row r="100" customFormat="false" ht="15" hidden="false" customHeight="true" outlineLevel="0" collapsed="false">
      <c r="A100" s="4" t="n">
        <v>99</v>
      </c>
      <c r="B100" s="4" t="s">
        <v>231</v>
      </c>
      <c r="C100" s="4" t="s">
        <v>232</v>
      </c>
      <c r="D100" s="5" t="s">
        <v>233</v>
      </c>
      <c r="E100" s="5" t="n">
        <v>1</v>
      </c>
      <c r="F100" s="5" t="s">
        <v>22</v>
      </c>
      <c r="G100" s="6" t="n">
        <v>733</v>
      </c>
      <c r="H100" s="6" t="n">
        <v>528.01</v>
      </c>
      <c r="I100" s="7" t="n">
        <v>0.09</v>
      </c>
      <c r="J100" s="6" t="n">
        <f aca="false">ROUND(H100*I100,2)</f>
        <v>47.52</v>
      </c>
      <c r="K100" s="7" t="n">
        <v>0.09</v>
      </c>
      <c r="L100" s="6" t="n">
        <f aca="false">ROUND(H100*K100,2)</f>
        <v>47.52</v>
      </c>
      <c r="M100" s="6" t="n">
        <f aca="false">H100+J100+L100</f>
        <v>623.05</v>
      </c>
      <c r="N100" s="6" t="n">
        <f aca="false">G100*E100</f>
        <v>733</v>
      </c>
      <c r="O100" s="6" t="n">
        <f aca="false">ROUND(N100*0.85/1.18,2)</f>
        <v>528.01</v>
      </c>
      <c r="P100" s="6" t="n">
        <f aca="false">ROUND(O100-H100,2)</f>
        <v>0</v>
      </c>
      <c r="Q100" s="5" t="n">
        <v>4</v>
      </c>
      <c r="R100" s="5" t="s">
        <v>23</v>
      </c>
      <c r="S100" s="6" t="n">
        <f aca="false">ROUND(H100/E100,2)</f>
        <v>528.01</v>
      </c>
    </row>
    <row r="101" customFormat="false" ht="15" hidden="false" customHeight="true" outlineLevel="0" collapsed="false">
      <c r="A101" s="4" t="n">
        <v>100</v>
      </c>
      <c r="B101" s="4" t="s">
        <v>234</v>
      </c>
      <c r="C101" s="4" t="s">
        <v>235</v>
      </c>
      <c r="D101" s="5" t="s">
        <v>21</v>
      </c>
      <c r="E101" s="5" t="n">
        <v>10</v>
      </c>
      <c r="F101" s="5" t="s">
        <v>22</v>
      </c>
      <c r="G101" s="6" t="n">
        <v>49</v>
      </c>
      <c r="H101" s="6" t="n">
        <v>352.97</v>
      </c>
      <c r="I101" s="7" t="n">
        <v>0.09</v>
      </c>
      <c r="J101" s="6" t="n">
        <f aca="false">ROUND(H101*I101,2)</f>
        <v>31.77</v>
      </c>
      <c r="K101" s="7" t="n">
        <v>0.09</v>
      </c>
      <c r="L101" s="6" t="n">
        <f aca="false">ROUND(H101*K101,2)</f>
        <v>31.77</v>
      </c>
      <c r="M101" s="6" t="n">
        <f aca="false">H101+J101+L101</f>
        <v>416.51</v>
      </c>
      <c r="N101" s="6" t="n">
        <f aca="false">G101*E101</f>
        <v>490</v>
      </c>
      <c r="O101" s="6" t="n">
        <f aca="false">ROUND(N101*0.85/1.18,2)</f>
        <v>352.97</v>
      </c>
      <c r="P101" s="6" t="n">
        <f aca="false">ROUND(O101-H101,2)</f>
        <v>0</v>
      </c>
      <c r="Q101" s="5" t="n">
        <v>4</v>
      </c>
      <c r="R101" s="5" t="s">
        <v>23</v>
      </c>
      <c r="S101" s="6" t="n">
        <f aca="false">ROUND(H101/E101,2)</f>
        <v>35.3</v>
      </c>
    </row>
    <row r="102" customFormat="false" ht="15" hidden="false" customHeight="true" outlineLevel="0" collapsed="false">
      <c r="A102" s="4" t="n">
        <v>101</v>
      </c>
      <c r="B102" s="4" t="s">
        <v>236</v>
      </c>
      <c r="C102" s="4" t="s">
        <v>237</v>
      </c>
      <c r="D102" s="5" t="s">
        <v>21</v>
      </c>
      <c r="E102" s="5" t="n">
        <v>1</v>
      </c>
      <c r="F102" s="5" t="s">
        <v>22</v>
      </c>
      <c r="G102" s="6" t="n">
        <v>1212</v>
      </c>
      <c r="H102" s="6" t="n">
        <v>873.05</v>
      </c>
      <c r="I102" s="7" t="n">
        <v>0.09</v>
      </c>
      <c r="J102" s="6" t="n">
        <f aca="false">ROUND(H102*I102,2)</f>
        <v>78.57</v>
      </c>
      <c r="K102" s="7" t="n">
        <v>0.09</v>
      </c>
      <c r="L102" s="6" t="n">
        <f aca="false">ROUND(H102*K102,2)</f>
        <v>78.57</v>
      </c>
      <c r="M102" s="6" t="n">
        <f aca="false">H102+J102+L102</f>
        <v>1030.19</v>
      </c>
      <c r="N102" s="6" t="n">
        <f aca="false">G102*E102</f>
        <v>1212</v>
      </c>
      <c r="O102" s="6" t="n">
        <f aca="false">ROUND(N102*0.85/1.18,2)</f>
        <v>873.05</v>
      </c>
      <c r="P102" s="6" t="n">
        <f aca="false">ROUND(O102-H102,2)</f>
        <v>0</v>
      </c>
      <c r="Q102" s="5" t="n">
        <v>4</v>
      </c>
      <c r="R102" s="5" t="s">
        <v>23</v>
      </c>
      <c r="S102" s="6" t="n">
        <f aca="false">ROUND(H102/E102,2)</f>
        <v>873.05</v>
      </c>
    </row>
    <row r="103" customFormat="false" ht="15" hidden="false" customHeight="true" outlineLevel="0" collapsed="false">
      <c r="A103" s="4" t="n">
        <v>102</v>
      </c>
      <c r="B103" s="4" t="s">
        <v>238</v>
      </c>
      <c r="C103" s="4" t="s">
        <v>239</v>
      </c>
      <c r="D103" s="5" t="s">
        <v>240</v>
      </c>
      <c r="E103" s="5" t="n">
        <v>20</v>
      </c>
      <c r="F103" s="5" t="s">
        <v>22</v>
      </c>
      <c r="G103" s="6" t="n">
        <v>32</v>
      </c>
      <c r="H103" s="6" t="n">
        <v>461.02</v>
      </c>
      <c r="I103" s="7" t="n">
        <v>0.09</v>
      </c>
      <c r="J103" s="6" t="n">
        <f aca="false">ROUND(H103*I103,2)</f>
        <v>41.49</v>
      </c>
      <c r="K103" s="7" t="n">
        <v>0.09</v>
      </c>
      <c r="L103" s="6" t="n">
        <f aca="false">ROUND(H103*K103,2)</f>
        <v>41.49</v>
      </c>
      <c r="M103" s="6" t="n">
        <f aca="false">H103+J103+L103</f>
        <v>544</v>
      </c>
      <c r="N103" s="6" t="n">
        <f aca="false">G103*E103</f>
        <v>640</v>
      </c>
      <c r="O103" s="6" t="n">
        <f aca="false">ROUND(N103*0.85/1.18,2)</f>
        <v>461.02</v>
      </c>
      <c r="P103" s="6" t="n">
        <f aca="false">ROUND(O103-H103,2)</f>
        <v>0</v>
      </c>
      <c r="Q103" s="5" t="n">
        <v>4</v>
      </c>
      <c r="R103" s="5" t="s">
        <v>23</v>
      </c>
      <c r="S103" s="6" t="n">
        <f aca="false">ROUND(H103/E103,2)</f>
        <v>23.05</v>
      </c>
    </row>
    <row r="104" customFormat="false" ht="15" hidden="false" customHeight="true" outlineLevel="0" collapsed="false">
      <c r="A104" s="4" t="n">
        <v>103</v>
      </c>
      <c r="B104" s="4" t="s">
        <v>241</v>
      </c>
      <c r="C104" s="4" t="s">
        <v>242</v>
      </c>
      <c r="D104" s="5" t="s">
        <v>21</v>
      </c>
      <c r="E104" s="5" t="n">
        <v>1</v>
      </c>
      <c r="F104" s="5" t="s">
        <v>22</v>
      </c>
      <c r="G104" s="6" t="n">
        <v>1257</v>
      </c>
      <c r="H104" s="6" t="n">
        <v>905.47</v>
      </c>
      <c r="I104" s="7" t="n">
        <v>0.09</v>
      </c>
      <c r="J104" s="6" t="n">
        <f aca="false">ROUND(H104*I104,2)</f>
        <v>81.49</v>
      </c>
      <c r="K104" s="7" t="n">
        <v>0.09</v>
      </c>
      <c r="L104" s="6" t="n">
        <f aca="false">ROUND(H104*K104,2)</f>
        <v>81.49</v>
      </c>
      <c r="M104" s="6" t="n">
        <f aca="false">H104+J104+L104</f>
        <v>1068.45</v>
      </c>
      <c r="N104" s="6" t="n">
        <f aca="false">G104*E104</f>
        <v>1257</v>
      </c>
      <c r="O104" s="6" t="n">
        <f aca="false">ROUND(N104*0.85/1.18,2)</f>
        <v>905.47</v>
      </c>
      <c r="P104" s="6" t="n">
        <f aca="false">ROUND(O104-H104,2)</f>
        <v>0</v>
      </c>
      <c r="Q104" s="5" t="n">
        <v>4</v>
      </c>
      <c r="R104" s="5" t="s">
        <v>23</v>
      </c>
      <c r="S104" s="6" t="n">
        <f aca="false">ROUND(H104/E104,2)</f>
        <v>905.47</v>
      </c>
    </row>
    <row r="105" customFormat="false" ht="15" hidden="false" customHeight="true" outlineLevel="0" collapsed="false">
      <c r="A105" s="4" t="n">
        <v>104</v>
      </c>
      <c r="B105" s="4" t="s">
        <v>243</v>
      </c>
      <c r="C105" s="4" t="s">
        <v>244</v>
      </c>
      <c r="D105" s="5" t="s">
        <v>245</v>
      </c>
      <c r="E105" s="5" t="n">
        <v>10</v>
      </c>
      <c r="F105" s="5" t="s">
        <v>22</v>
      </c>
      <c r="G105" s="6" t="n">
        <v>93</v>
      </c>
      <c r="H105" s="6" t="n">
        <v>669.92</v>
      </c>
      <c r="I105" s="7" t="n">
        <v>0.09</v>
      </c>
      <c r="J105" s="6" t="n">
        <f aca="false">ROUND(H105*I105,2)</f>
        <v>60.29</v>
      </c>
      <c r="K105" s="7" t="n">
        <v>0.09</v>
      </c>
      <c r="L105" s="6" t="n">
        <f aca="false">ROUND(H105*K105,2)</f>
        <v>60.29</v>
      </c>
      <c r="M105" s="6" t="n">
        <f aca="false">H105+J105+L105</f>
        <v>790.5</v>
      </c>
      <c r="N105" s="6" t="n">
        <f aca="false">G105*E105</f>
        <v>930</v>
      </c>
      <c r="O105" s="6" t="n">
        <f aca="false">ROUND(N105*0.85/1.18,2)</f>
        <v>669.92</v>
      </c>
      <c r="P105" s="6" t="n">
        <f aca="false">ROUND(O105-H105,2)</f>
        <v>0</v>
      </c>
      <c r="Q105" s="5" t="n">
        <v>4</v>
      </c>
      <c r="R105" s="5" t="s">
        <v>23</v>
      </c>
      <c r="S105" s="6" t="n">
        <f aca="false">ROUND(H105/E105,2)</f>
        <v>66.99</v>
      </c>
    </row>
    <row r="106" customFormat="false" ht="15" hidden="false" customHeight="true" outlineLevel="0" collapsed="false">
      <c r="A106" s="4" t="n">
        <v>105</v>
      </c>
      <c r="B106" s="4" t="s">
        <v>246</v>
      </c>
      <c r="C106" s="4" t="s">
        <v>247</v>
      </c>
      <c r="D106" s="5" t="s">
        <v>21</v>
      </c>
      <c r="E106" s="5" t="n">
        <v>2</v>
      </c>
      <c r="F106" s="5" t="s">
        <v>22</v>
      </c>
      <c r="G106" s="6" t="n">
        <v>61</v>
      </c>
      <c r="H106" s="6" t="n">
        <v>87.88</v>
      </c>
      <c r="I106" s="7" t="n">
        <v>0.09</v>
      </c>
      <c r="J106" s="6" t="n">
        <f aca="false">ROUND(H106*I106,2)</f>
        <v>7.91</v>
      </c>
      <c r="K106" s="7" t="n">
        <v>0.09</v>
      </c>
      <c r="L106" s="6" t="n">
        <f aca="false">ROUND(H106*K106,2)</f>
        <v>7.91</v>
      </c>
      <c r="M106" s="6" t="n">
        <f aca="false">H106+J106+L106</f>
        <v>103.7</v>
      </c>
      <c r="N106" s="6" t="n">
        <f aca="false">G106*E106</f>
        <v>122</v>
      </c>
      <c r="O106" s="6" t="n">
        <f aca="false">ROUND(N106*0.85/1.18,2)</f>
        <v>87.88</v>
      </c>
      <c r="P106" s="6" t="n">
        <f aca="false">ROUND(O106-H106,2)</f>
        <v>0</v>
      </c>
      <c r="Q106" s="5" t="n">
        <v>4</v>
      </c>
      <c r="R106" s="5" t="s">
        <v>23</v>
      </c>
      <c r="S106" s="6" t="n">
        <f aca="false">ROUND(H106/E106,2)</f>
        <v>43.94</v>
      </c>
    </row>
    <row r="107" customFormat="false" ht="15" hidden="false" customHeight="true" outlineLevel="0" collapsed="false">
      <c r="A107" s="4" t="n">
        <v>106</v>
      </c>
      <c r="B107" s="4" t="s">
        <v>248</v>
      </c>
      <c r="C107" s="4" t="s">
        <v>249</v>
      </c>
      <c r="D107" s="5" t="s">
        <v>21</v>
      </c>
      <c r="E107" s="5" t="n">
        <v>5</v>
      </c>
      <c r="F107" s="5" t="s">
        <v>22</v>
      </c>
      <c r="G107" s="6" t="n">
        <v>28</v>
      </c>
      <c r="H107" s="6" t="n">
        <v>100.85</v>
      </c>
      <c r="I107" s="7" t="n">
        <v>0.09</v>
      </c>
      <c r="J107" s="6" t="n">
        <f aca="false">ROUND(H107*I107,2)</f>
        <v>9.08</v>
      </c>
      <c r="K107" s="7" t="n">
        <v>0.09</v>
      </c>
      <c r="L107" s="6" t="n">
        <f aca="false">ROUND(H107*K107,2)</f>
        <v>9.08</v>
      </c>
      <c r="M107" s="6" t="n">
        <f aca="false">H107+J107+L107</f>
        <v>119.01</v>
      </c>
      <c r="N107" s="6" t="n">
        <f aca="false">G107*E107</f>
        <v>140</v>
      </c>
      <c r="O107" s="6" t="n">
        <f aca="false">ROUND(N107*0.85/1.18,2)</f>
        <v>100.85</v>
      </c>
      <c r="P107" s="6" t="n">
        <f aca="false">ROUND(O107-H107,2)</f>
        <v>0</v>
      </c>
      <c r="Q107" s="5" t="n">
        <v>4</v>
      </c>
      <c r="R107" s="5" t="s">
        <v>23</v>
      </c>
      <c r="S107" s="6" t="n">
        <f aca="false">ROUND(H107/E107,2)</f>
        <v>20.17</v>
      </c>
    </row>
    <row r="108" customFormat="false" ht="15" hidden="false" customHeight="true" outlineLevel="0" collapsed="false">
      <c r="A108" s="4" t="n">
        <v>107</v>
      </c>
      <c r="B108" s="4" t="s">
        <v>250</v>
      </c>
      <c r="C108" s="4" t="s">
        <v>251</v>
      </c>
      <c r="D108" s="5" t="s">
        <v>21</v>
      </c>
      <c r="E108" s="5" t="n">
        <v>5</v>
      </c>
      <c r="F108" s="5" t="s">
        <v>22</v>
      </c>
      <c r="G108" s="6" t="n">
        <v>356</v>
      </c>
      <c r="H108" s="6" t="n">
        <v>1282.2</v>
      </c>
      <c r="I108" s="7" t="n">
        <v>0.09</v>
      </c>
      <c r="J108" s="6" t="n">
        <f aca="false">ROUND(H108*I108,2)</f>
        <v>115.4</v>
      </c>
      <c r="K108" s="7" t="n">
        <v>0.09</v>
      </c>
      <c r="L108" s="6" t="n">
        <f aca="false">ROUND(H108*K108,2)</f>
        <v>115.4</v>
      </c>
      <c r="M108" s="6" t="n">
        <f aca="false">H108+J108+L108</f>
        <v>1513</v>
      </c>
      <c r="N108" s="6" t="n">
        <f aca="false">G108*E108</f>
        <v>1780</v>
      </c>
      <c r="O108" s="6" t="n">
        <f aca="false">ROUND(N108*0.85/1.18,2)</f>
        <v>1282.2</v>
      </c>
      <c r="P108" s="6" t="n">
        <f aca="false">ROUND(O108-H108,2)</f>
        <v>0</v>
      </c>
      <c r="Q108" s="5" t="n">
        <v>4</v>
      </c>
      <c r="R108" s="5" t="s">
        <v>23</v>
      </c>
      <c r="S108" s="6" t="n">
        <f aca="false">ROUND(H108/E108,2)</f>
        <v>256.44</v>
      </c>
    </row>
    <row r="109" customFormat="false" ht="15" hidden="false" customHeight="true" outlineLevel="0" collapsed="false">
      <c r="A109" s="4" t="n">
        <v>108</v>
      </c>
      <c r="B109" s="4" t="s">
        <v>252</v>
      </c>
      <c r="C109" s="4" t="s">
        <v>253</v>
      </c>
      <c r="D109" s="5" t="s">
        <v>21</v>
      </c>
      <c r="E109" s="5" t="n">
        <v>10</v>
      </c>
      <c r="F109" s="5" t="s">
        <v>22</v>
      </c>
      <c r="G109" s="6" t="n">
        <v>7</v>
      </c>
      <c r="H109" s="6" t="n">
        <v>50.42</v>
      </c>
      <c r="I109" s="7" t="n">
        <v>0.09</v>
      </c>
      <c r="J109" s="6" t="n">
        <f aca="false">ROUND(H109*I109,2)</f>
        <v>4.54</v>
      </c>
      <c r="K109" s="7" t="n">
        <v>0.09</v>
      </c>
      <c r="L109" s="6" t="n">
        <f aca="false">ROUND(H109*K109,2)</f>
        <v>4.54</v>
      </c>
      <c r="M109" s="6" t="n">
        <f aca="false">H109+J109+L109</f>
        <v>59.5</v>
      </c>
      <c r="N109" s="6" t="n">
        <f aca="false">G109*E109</f>
        <v>70</v>
      </c>
      <c r="O109" s="6" t="n">
        <f aca="false">ROUND(N109*0.85/1.18,2)</f>
        <v>50.42</v>
      </c>
      <c r="P109" s="6" t="n">
        <f aca="false">ROUND(O109-H109,2)</f>
        <v>0</v>
      </c>
      <c r="Q109" s="5" t="n">
        <v>4</v>
      </c>
      <c r="R109" s="5" t="s">
        <v>23</v>
      </c>
      <c r="S109" s="6" t="n">
        <f aca="false">ROUND(H109/E109,2)</f>
        <v>5.04</v>
      </c>
    </row>
    <row r="110" customFormat="false" ht="15" hidden="false" customHeight="true" outlineLevel="0" collapsed="false">
      <c r="A110" s="4" t="n">
        <v>109</v>
      </c>
      <c r="B110" s="4" t="s">
        <v>254</v>
      </c>
      <c r="C110" s="4" t="s">
        <v>255</v>
      </c>
      <c r="D110" s="5" t="s">
        <v>21</v>
      </c>
      <c r="E110" s="5" t="n">
        <v>2</v>
      </c>
      <c r="F110" s="5" t="s">
        <v>22</v>
      </c>
      <c r="G110" s="6" t="n">
        <v>82</v>
      </c>
      <c r="H110" s="6" t="n">
        <v>118.14</v>
      </c>
      <c r="I110" s="7" t="n">
        <v>0.09</v>
      </c>
      <c r="J110" s="6" t="n">
        <f aca="false">ROUND(H110*I110,2)</f>
        <v>10.63</v>
      </c>
      <c r="K110" s="7" t="n">
        <v>0.09</v>
      </c>
      <c r="L110" s="6" t="n">
        <f aca="false">ROUND(H110*K110,2)</f>
        <v>10.63</v>
      </c>
      <c r="M110" s="6" t="n">
        <f aca="false">H110+J110+L110</f>
        <v>139.4</v>
      </c>
      <c r="N110" s="6" t="n">
        <f aca="false">G110*E110</f>
        <v>164</v>
      </c>
      <c r="O110" s="6" t="n">
        <f aca="false">ROUND(N110*0.85/1.18,2)</f>
        <v>118.14</v>
      </c>
      <c r="P110" s="6" t="n">
        <f aca="false">ROUND(O110-H110,2)</f>
        <v>0</v>
      </c>
      <c r="Q110" s="5" t="n">
        <v>4</v>
      </c>
      <c r="R110" s="5" t="s">
        <v>23</v>
      </c>
      <c r="S110" s="6" t="n">
        <f aca="false">ROUND(H110/E110,2)</f>
        <v>59.07</v>
      </c>
    </row>
    <row r="111" customFormat="false" ht="15" hidden="false" customHeight="true" outlineLevel="0" collapsed="false">
      <c r="A111" s="4" t="n">
        <v>110</v>
      </c>
      <c r="B111" s="4" t="s">
        <v>256</v>
      </c>
      <c r="C111" s="4" t="s">
        <v>257</v>
      </c>
      <c r="D111" s="5" t="s">
        <v>21</v>
      </c>
      <c r="E111" s="5" t="n">
        <v>2</v>
      </c>
      <c r="F111" s="5" t="s">
        <v>22</v>
      </c>
      <c r="G111" s="6" t="n">
        <v>281</v>
      </c>
      <c r="H111" s="6" t="n">
        <v>404.83</v>
      </c>
      <c r="I111" s="7" t="n">
        <v>0.09</v>
      </c>
      <c r="J111" s="6" t="n">
        <f aca="false">ROUND(H111*I111,2)</f>
        <v>36.43</v>
      </c>
      <c r="K111" s="7" t="n">
        <v>0.09</v>
      </c>
      <c r="L111" s="6" t="n">
        <f aca="false">ROUND(H111*K111,2)</f>
        <v>36.43</v>
      </c>
      <c r="M111" s="6" t="n">
        <f aca="false">H111+J111+L111</f>
        <v>477.69</v>
      </c>
      <c r="N111" s="6" t="n">
        <f aca="false">G111*E111</f>
        <v>562</v>
      </c>
      <c r="O111" s="6" t="n">
        <f aca="false">ROUND(N111*0.85/1.18,2)</f>
        <v>404.83</v>
      </c>
      <c r="P111" s="6" t="n">
        <f aca="false">ROUND(O111-H111,2)</f>
        <v>0</v>
      </c>
      <c r="Q111" s="5" t="n">
        <v>4</v>
      </c>
      <c r="R111" s="5" t="s">
        <v>23</v>
      </c>
      <c r="S111" s="6" t="n">
        <f aca="false">ROUND(H111/E111,2)</f>
        <v>202.42</v>
      </c>
    </row>
    <row r="112" customFormat="false" ht="15" hidden="false" customHeight="true" outlineLevel="0" collapsed="false">
      <c r="A112" s="4" t="n">
        <v>111</v>
      </c>
      <c r="B112" s="4" t="s">
        <v>258</v>
      </c>
      <c r="C112" s="4" t="s">
        <v>259</v>
      </c>
      <c r="D112" s="5" t="s">
        <v>21</v>
      </c>
      <c r="E112" s="5" t="n">
        <v>10</v>
      </c>
      <c r="F112" s="5" t="s">
        <v>22</v>
      </c>
      <c r="G112" s="6" t="n">
        <v>7</v>
      </c>
      <c r="H112" s="6" t="n">
        <v>50.42</v>
      </c>
      <c r="I112" s="7" t="n">
        <v>0.09</v>
      </c>
      <c r="J112" s="6" t="n">
        <f aca="false">ROUND(H112*I112,2)</f>
        <v>4.54</v>
      </c>
      <c r="K112" s="7" t="n">
        <v>0.09</v>
      </c>
      <c r="L112" s="6" t="n">
        <f aca="false">ROUND(H112*K112,2)</f>
        <v>4.54</v>
      </c>
      <c r="M112" s="6" t="n">
        <f aca="false">H112+J112+L112</f>
        <v>59.5</v>
      </c>
      <c r="N112" s="6" t="n">
        <f aca="false">G112*E112</f>
        <v>70</v>
      </c>
      <c r="O112" s="6" t="n">
        <f aca="false">ROUND(N112*0.85/1.18,2)</f>
        <v>50.42</v>
      </c>
      <c r="P112" s="6" t="n">
        <f aca="false">ROUND(O112-H112,2)</f>
        <v>0</v>
      </c>
      <c r="Q112" s="5" t="n">
        <v>4</v>
      </c>
      <c r="R112" s="5" t="s">
        <v>23</v>
      </c>
      <c r="S112" s="6" t="n">
        <f aca="false">ROUND(H112/E112,2)</f>
        <v>5.04</v>
      </c>
    </row>
    <row r="113" customFormat="false" ht="15" hidden="false" customHeight="true" outlineLevel="0" collapsed="false">
      <c r="A113" s="4" t="n">
        <v>112</v>
      </c>
      <c r="B113" s="4" t="s">
        <v>260</v>
      </c>
      <c r="C113" s="4" t="s">
        <v>261</v>
      </c>
      <c r="D113" s="5" t="s">
        <v>73</v>
      </c>
      <c r="E113" s="5" t="n">
        <v>2</v>
      </c>
      <c r="F113" s="5" t="s">
        <v>22</v>
      </c>
      <c r="G113" s="6" t="n">
        <v>60</v>
      </c>
      <c r="H113" s="6" t="n">
        <v>86.44</v>
      </c>
      <c r="I113" s="7" t="n">
        <v>0.09</v>
      </c>
      <c r="J113" s="6" t="n">
        <f aca="false">ROUND(H113*I113,2)</f>
        <v>7.78</v>
      </c>
      <c r="K113" s="7" t="n">
        <v>0.09</v>
      </c>
      <c r="L113" s="6" t="n">
        <f aca="false">ROUND(H113*K113,2)</f>
        <v>7.78</v>
      </c>
      <c r="M113" s="6" t="n">
        <f aca="false">H113+J113+L113</f>
        <v>102</v>
      </c>
      <c r="N113" s="6" t="n">
        <f aca="false">G113*E113</f>
        <v>120</v>
      </c>
      <c r="O113" s="6" t="n">
        <f aca="false">ROUND(N113*0.85/1.18,2)</f>
        <v>86.44</v>
      </c>
      <c r="P113" s="6" t="n">
        <f aca="false">ROUND(O113-H113,2)</f>
        <v>0</v>
      </c>
      <c r="Q113" s="5" t="n">
        <v>4</v>
      </c>
      <c r="R113" s="5" t="s">
        <v>23</v>
      </c>
      <c r="S113" s="6" t="n">
        <f aca="false">ROUND(H113/E113,2)</f>
        <v>43.22</v>
      </c>
    </row>
    <row r="114" customFormat="false" ht="15" hidden="false" customHeight="true" outlineLevel="0" collapsed="false">
      <c r="A114" s="4" t="n">
        <v>113</v>
      </c>
      <c r="B114" s="4" t="s">
        <v>262</v>
      </c>
      <c r="C114" s="4" t="s">
        <v>263</v>
      </c>
      <c r="D114" s="5" t="s">
        <v>21</v>
      </c>
      <c r="E114" s="5" t="n">
        <v>5</v>
      </c>
      <c r="F114" s="5" t="s">
        <v>22</v>
      </c>
      <c r="G114" s="6" t="n">
        <v>123</v>
      </c>
      <c r="H114" s="6" t="n">
        <v>443.01</v>
      </c>
      <c r="I114" s="7" t="n">
        <v>0.09</v>
      </c>
      <c r="J114" s="6" t="n">
        <f aca="false">ROUND(H114*I114,2)</f>
        <v>39.87</v>
      </c>
      <c r="K114" s="7" t="n">
        <v>0.09</v>
      </c>
      <c r="L114" s="6" t="n">
        <f aca="false">ROUND(H114*K114,2)</f>
        <v>39.87</v>
      </c>
      <c r="M114" s="6" t="n">
        <f aca="false">H114+J114+L114</f>
        <v>522.75</v>
      </c>
      <c r="N114" s="6" t="n">
        <f aca="false">G114*E114</f>
        <v>615</v>
      </c>
      <c r="O114" s="6" t="n">
        <f aca="false">ROUND(N114*0.85/1.18,2)</f>
        <v>443.01</v>
      </c>
      <c r="P114" s="6" t="n">
        <f aca="false">ROUND(O114-H114,2)</f>
        <v>0</v>
      </c>
      <c r="Q114" s="5" t="n">
        <v>4</v>
      </c>
      <c r="R114" s="5" t="s">
        <v>23</v>
      </c>
      <c r="S114" s="6" t="n">
        <f aca="false">ROUND(H114/E114,2)</f>
        <v>88.6</v>
      </c>
    </row>
    <row r="115" customFormat="false" ht="15" hidden="false" customHeight="true" outlineLevel="0" collapsed="false">
      <c r="A115" s="4" t="n">
        <v>114</v>
      </c>
      <c r="B115" s="4" t="s">
        <v>264</v>
      </c>
      <c r="C115" s="4" t="s">
        <v>265</v>
      </c>
      <c r="D115" s="5" t="s">
        <v>113</v>
      </c>
      <c r="E115" s="5" t="n">
        <v>2</v>
      </c>
      <c r="F115" s="5" t="s">
        <v>22</v>
      </c>
      <c r="G115" s="6" t="n">
        <v>57</v>
      </c>
      <c r="H115" s="6" t="n">
        <v>82.12</v>
      </c>
      <c r="I115" s="7" t="n">
        <v>0.09</v>
      </c>
      <c r="J115" s="6" t="n">
        <f aca="false">ROUND(H115*I115,2)</f>
        <v>7.39</v>
      </c>
      <c r="K115" s="7" t="n">
        <v>0.09</v>
      </c>
      <c r="L115" s="6" t="n">
        <f aca="false">ROUND(H115*K115,2)</f>
        <v>7.39</v>
      </c>
      <c r="M115" s="6" t="n">
        <f aca="false">H115+J115+L115</f>
        <v>96.9</v>
      </c>
      <c r="N115" s="6" t="n">
        <f aca="false">G115*E115</f>
        <v>114</v>
      </c>
      <c r="O115" s="6" t="n">
        <f aca="false">ROUND(N115*0.85/1.18,2)</f>
        <v>82.12</v>
      </c>
      <c r="P115" s="6" t="n">
        <f aca="false">ROUND(O115-H115,2)</f>
        <v>0</v>
      </c>
      <c r="Q115" s="5" t="n">
        <v>4</v>
      </c>
      <c r="R115" s="5" t="s">
        <v>23</v>
      </c>
      <c r="S115" s="6" t="n">
        <f aca="false">ROUND(H115/E115,2)</f>
        <v>41.06</v>
      </c>
    </row>
    <row r="116" customFormat="false" ht="15" hidden="false" customHeight="true" outlineLevel="0" collapsed="false">
      <c r="A116" s="4" t="n">
        <v>115</v>
      </c>
      <c r="B116" s="4" t="s">
        <v>266</v>
      </c>
      <c r="C116" s="4" t="s">
        <v>267</v>
      </c>
      <c r="D116" s="5" t="s">
        <v>21</v>
      </c>
      <c r="E116" s="5" t="n">
        <v>10</v>
      </c>
      <c r="F116" s="5" t="s">
        <v>22</v>
      </c>
      <c r="G116" s="6" t="n">
        <v>110</v>
      </c>
      <c r="H116" s="6" t="n">
        <v>792.37</v>
      </c>
      <c r="I116" s="7" t="n">
        <v>0.09</v>
      </c>
      <c r="J116" s="6" t="n">
        <f aca="false">ROUND(H116*I116,2)</f>
        <v>71.31</v>
      </c>
      <c r="K116" s="7" t="n">
        <v>0.09</v>
      </c>
      <c r="L116" s="6" t="n">
        <f aca="false">ROUND(H116*K116,2)</f>
        <v>71.31</v>
      </c>
      <c r="M116" s="6" t="n">
        <f aca="false">H116+J116+L116</f>
        <v>934.99</v>
      </c>
      <c r="N116" s="6" t="n">
        <f aca="false">G116*E116</f>
        <v>1100</v>
      </c>
      <c r="O116" s="6" t="n">
        <f aca="false">ROUND(N116*0.85/1.18,2)</f>
        <v>792.37</v>
      </c>
      <c r="P116" s="6" t="n">
        <f aca="false">ROUND(O116-H116,2)</f>
        <v>0</v>
      </c>
      <c r="Q116" s="5" t="n">
        <v>4</v>
      </c>
      <c r="R116" s="5" t="s">
        <v>23</v>
      </c>
      <c r="S116" s="6" t="n">
        <f aca="false">ROUND(H116/E116,2)</f>
        <v>79.24</v>
      </c>
    </row>
    <row r="117" customFormat="false" ht="15" hidden="false" customHeight="true" outlineLevel="0" collapsed="false">
      <c r="A117" s="4" t="n">
        <v>116</v>
      </c>
      <c r="B117" s="4" t="s">
        <v>268</v>
      </c>
      <c r="C117" s="4" t="s">
        <v>269</v>
      </c>
      <c r="D117" s="5" t="s">
        <v>164</v>
      </c>
      <c r="E117" s="5" t="n">
        <v>10</v>
      </c>
      <c r="F117" s="5" t="s">
        <v>22</v>
      </c>
      <c r="G117" s="6" t="n">
        <v>93</v>
      </c>
      <c r="H117" s="6" t="n">
        <v>669.92</v>
      </c>
      <c r="I117" s="7" t="n">
        <v>0.09</v>
      </c>
      <c r="J117" s="6" t="n">
        <f aca="false">ROUND(H117*I117,2)</f>
        <v>60.29</v>
      </c>
      <c r="K117" s="7" t="n">
        <v>0.09</v>
      </c>
      <c r="L117" s="6" t="n">
        <f aca="false">ROUND(H117*K117,2)</f>
        <v>60.29</v>
      </c>
      <c r="M117" s="6" t="n">
        <f aca="false">H117+J117+L117</f>
        <v>790.5</v>
      </c>
      <c r="N117" s="6" t="n">
        <f aca="false">G117*E117</f>
        <v>930</v>
      </c>
      <c r="O117" s="6" t="n">
        <f aca="false">ROUND(N117*0.85/1.18,2)</f>
        <v>669.92</v>
      </c>
      <c r="P117" s="6" t="n">
        <f aca="false">ROUND(O117-H117,2)</f>
        <v>0</v>
      </c>
      <c r="Q117" s="5" t="n">
        <v>4</v>
      </c>
      <c r="R117" s="5" t="s">
        <v>23</v>
      </c>
      <c r="S117" s="6" t="n">
        <f aca="false">ROUND(H117/E117,2)</f>
        <v>66.99</v>
      </c>
    </row>
    <row r="118" customFormat="false" ht="15" hidden="false" customHeight="true" outlineLevel="0" collapsed="false">
      <c r="A118" s="4" t="n">
        <v>117</v>
      </c>
      <c r="B118" s="4" t="s">
        <v>270</v>
      </c>
      <c r="C118" s="4" t="s">
        <v>271</v>
      </c>
      <c r="D118" s="5" t="s">
        <v>272</v>
      </c>
      <c r="E118" s="5" t="n">
        <v>1</v>
      </c>
      <c r="F118" s="5" t="s">
        <v>22</v>
      </c>
      <c r="G118" s="6" t="n">
        <v>235</v>
      </c>
      <c r="H118" s="6" t="n">
        <v>169.28</v>
      </c>
      <c r="I118" s="7" t="n">
        <v>0.09</v>
      </c>
      <c r="J118" s="6" t="n">
        <f aca="false">ROUND(H118*I118,2)</f>
        <v>15.24</v>
      </c>
      <c r="K118" s="7" t="n">
        <v>0.09</v>
      </c>
      <c r="L118" s="6" t="n">
        <f aca="false">ROUND(H118*K118,2)</f>
        <v>15.24</v>
      </c>
      <c r="M118" s="6" t="n">
        <f aca="false">H118+J118+L118</f>
        <v>199.76</v>
      </c>
      <c r="N118" s="6" t="n">
        <f aca="false">G118*E118</f>
        <v>235</v>
      </c>
      <c r="O118" s="6" t="n">
        <f aca="false">ROUND(N118*0.85/1.18,2)</f>
        <v>169.28</v>
      </c>
      <c r="P118" s="6" t="n">
        <f aca="false">ROUND(O118-H118,2)</f>
        <v>0</v>
      </c>
      <c r="Q118" s="5" t="n">
        <v>4</v>
      </c>
      <c r="R118" s="5" t="s">
        <v>23</v>
      </c>
      <c r="S118" s="6" t="n">
        <f aca="false">ROUND(H118/E118,2)</f>
        <v>169.28</v>
      </c>
    </row>
    <row r="119" customFormat="false" ht="15" hidden="false" customHeight="true" outlineLevel="0" collapsed="false">
      <c r="A119" s="4" t="n">
        <v>118</v>
      </c>
      <c r="B119" s="4" t="s">
        <v>273</v>
      </c>
      <c r="C119" s="4" t="s">
        <v>274</v>
      </c>
      <c r="D119" s="5" t="s">
        <v>272</v>
      </c>
      <c r="E119" s="5" t="n">
        <v>1</v>
      </c>
      <c r="F119" s="5" t="s">
        <v>22</v>
      </c>
      <c r="G119" s="6" t="n">
        <v>235</v>
      </c>
      <c r="H119" s="6" t="n">
        <v>169.28</v>
      </c>
      <c r="I119" s="7" t="n">
        <v>0.09</v>
      </c>
      <c r="J119" s="6" t="n">
        <f aca="false">ROUND(H119*I119,2)</f>
        <v>15.24</v>
      </c>
      <c r="K119" s="7" t="n">
        <v>0.09</v>
      </c>
      <c r="L119" s="6" t="n">
        <f aca="false">ROUND(H119*K119,2)</f>
        <v>15.24</v>
      </c>
      <c r="M119" s="6" t="n">
        <f aca="false">H119+J119+L119</f>
        <v>199.76</v>
      </c>
      <c r="N119" s="6" t="n">
        <f aca="false">G119*E119</f>
        <v>235</v>
      </c>
      <c r="O119" s="6" t="n">
        <f aca="false">ROUND(N119*0.85/1.18,2)</f>
        <v>169.28</v>
      </c>
      <c r="P119" s="6" t="n">
        <f aca="false">ROUND(O119-H119,2)</f>
        <v>0</v>
      </c>
      <c r="Q119" s="5" t="n">
        <v>4</v>
      </c>
      <c r="R119" s="5" t="s">
        <v>23</v>
      </c>
      <c r="S119" s="6" t="n">
        <f aca="false">ROUND(H119/E119,2)</f>
        <v>169.28</v>
      </c>
    </row>
    <row r="120" customFormat="false" ht="15" hidden="false" customHeight="true" outlineLevel="0" collapsed="false">
      <c r="A120" s="4" t="n">
        <v>119</v>
      </c>
      <c r="B120" s="4" t="s">
        <v>275</v>
      </c>
      <c r="C120" s="4" t="s">
        <v>276</v>
      </c>
      <c r="D120" s="5" t="s">
        <v>21</v>
      </c>
      <c r="E120" s="5" t="n">
        <v>100</v>
      </c>
      <c r="F120" s="5" t="s">
        <v>22</v>
      </c>
      <c r="G120" s="6" t="n">
        <v>6</v>
      </c>
      <c r="H120" s="6" t="n">
        <v>432.2</v>
      </c>
      <c r="I120" s="7" t="n">
        <v>0.09</v>
      </c>
      <c r="J120" s="6" t="n">
        <f aca="false">ROUND(H120*I120,2)</f>
        <v>38.9</v>
      </c>
      <c r="K120" s="7" t="n">
        <v>0.09</v>
      </c>
      <c r="L120" s="6" t="n">
        <f aca="false">ROUND(H120*K120,2)</f>
        <v>38.9</v>
      </c>
      <c r="M120" s="6" t="n">
        <f aca="false">H120+J120+L120</f>
        <v>510</v>
      </c>
      <c r="N120" s="6" t="n">
        <f aca="false">G120*E120</f>
        <v>600</v>
      </c>
      <c r="O120" s="6" t="n">
        <f aca="false">ROUND(N120*0.85/1.18,2)</f>
        <v>432.2</v>
      </c>
      <c r="P120" s="6" t="n">
        <f aca="false">ROUND(O120-H120,2)</f>
        <v>0</v>
      </c>
      <c r="Q120" s="5" t="n">
        <v>4</v>
      </c>
      <c r="R120" s="5" t="s">
        <v>23</v>
      </c>
      <c r="S120" s="6" t="n">
        <f aca="false">ROUND(H120/E120,2)</f>
        <v>4.32</v>
      </c>
    </row>
    <row r="121" customFormat="false" ht="15" hidden="false" customHeight="true" outlineLevel="0" collapsed="false">
      <c r="A121" s="4" t="n">
        <v>120</v>
      </c>
      <c r="B121" s="4" t="s">
        <v>277</v>
      </c>
      <c r="C121" s="4" t="s">
        <v>278</v>
      </c>
      <c r="D121" s="5" t="s">
        <v>21</v>
      </c>
      <c r="E121" s="5" t="n">
        <v>1</v>
      </c>
      <c r="F121" s="5" t="s">
        <v>22</v>
      </c>
      <c r="G121" s="6" t="n">
        <v>105</v>
      </c>
      <c r="H121" s="6" t="n">
        <v>75.64</v>
      </c>
      <c r="I121" s="7" t="n">
        <v>0.09</v>
      </c>
      <c r="J121" s="6" t="n">
        <f aca="false">ROUND(H121*I121,2)</f>
        <v>6.81</v>
      </c>
      <c r="K121" s="7" t="n">
        <v>0.09</v>
      </c>
      <c r="L121" s="6" t="n">
        <f aca="false">ROUND(H121*K121,2)</f>
        <v>6.81</v>
      </c>
      <c r="M121" s="6" t="n">
        <f aca="false">H121+J121+L121</f>
        <v>89.26</v>
      </c>
      <c r="N121" s="6" t="n">
        <f aca="false">G121*E121</f>
        <v>105</v>
      </c>
      <c r="O121" s="6" t="n">
        <f aca="false">ROUND(N121*0.85/1.18,2)</f>
        <v>75.64</v>
      </c>
      <c r="P121" s="6" t="n">
        <f aca="false">ROUND(O121-H121,2)</f>
        <v>0</v>
      </c>
      <c r="Q121" s="5" t="n">
        <v>4</v>
      </c>
      <c r="R121" s="5" t="s">
        <v>23</v>
      </c>
      <c r="S121" s="6" t="n">
        <f aca="false">ROUND(H121/E121,2)</f>
        <v>75.64</v>
      </c>
    </row>
    <row r="122" customFormat="false" ht="15" hidden="false" customHeight="true" outlineLevel="0" collapsed="false">
      <c r="A122" s="4" t="n">
        <v>121</v>
      </c>
      <c r="B122" s="4" t="s">
        <v>277</v>
      </c>
      <c r="C122" s="4" t="s">
        <v>278</v>
      </c>
      <c r="D122" s="5" t="s">
        <v>21</v>
      </c>
      <c r="E122" s="5" t="n">
        <v>1</v>
      </c>
      <c r="F122" s="5" t="s">
        <v>22</v>
      </c>
      <c r="G122" s="6" t="n">
        <v>113</v>
      </c>
      <c r="H122" s="6" t="n">
        <v>81.4</v>
      </c>
      <c r="I122" s="7" t="n">
        <v>0.09</v>
      </c>
      <c r="J122" s="6" t="n">
        <f aca="false">ROUND(H122*I122,2)</f>
        <v>7.33</v>
      </c>
      <c r="K122" s="7" t="n">
        <v>0.09</v>
      </c>
      <c r="L122" s="6" t="n">
        <f aca="false">ROUND(H122*K122,2)</f>
        <v>7.33</v>
      </c>
      <c r="M122" s="6" t="n">
        <f aca="false">H122+J122+L122</f>
        <v>96.06</v>
      </c>
      <c r="N122" s="6" t="n">
        <f aca="false">G122*E122</f>
        <v>113</v>
      </c>
      <c r="O122" s="6" t="n">
        <f aca="false">ROUND(N122*0.85/1.18,2)</f>
        <v>81.4</v>
      </c>
      <c r="P122" s="6" t="n">
        <f aca="false">ROUND(O122-H122,2)</f>
        <v>0</v>
      </c>
      <c r="Q122" s="5" t="n">
        <v>4</v>
      </c>
      <c r="R122" s="5" t="s">
        <v>23</v>
      </c>
      <c r="S122" s="6" t="n">
        <f aca="false">ROUND(H122/E122,2)</f>
        <v>81.4</v>
      </c>
    </row>
    <row r="123" customFormat="false" ht="15" hidden="false" customHeight="true" outlineLevel="0" collapsed="false">
      <c r="A123" s="4" t="n">
        <v>122</v>
      </c>
      <c r="B123" s="4" t="s">
        <v>279</v>
      </c>
      <c r="C123" s="4" t="s">
        <v>280</v>
      </c>
      <c r="D123" s="5" t="s">
        <v>113</v>
      </c>
      <c r="E123" s="5" t="n">
        <v>1</v>
      </c>
      <c r="F123" s="5" t="s">
        <v>22</v>
      </c>
      <c r="G123" s="6" t="n">
        <v>321</v>
      </c>
      <c r="H123" s="6" t="n">
        <v>231.23</v>
      </c>
      <c r="I123" s="7" t="n">
        <v>0.09</v>
      </c>
      <c r="J123" s="6" t="n">
        <f aca="false">ROUND(H123*I123,2)</f>
        <v>20.81</v>
      </c>
      <c r="K123" s="7" t="n">
        <v>0.09</v>
      </c>
      <c r="L123" s="6" t="n">
        <f aca="false">ROUND(H123*K123,2)</f>
        <v>20.81</v>
      </c>
      <c r="M123" s="6" t="n">
        <f aca="false">H123+J123+L123</f>
        <v>272.85</v>
      </c>
      <c r="N123" s="6" t="n">
        <f aca="false">G123*E123</f>
        <v>321</v>
      </c>
      <c r="O123" s="6" t="n">
        <f aca="false">ROUND(N123*0.85/1.18,2)</f>
        <v>231.23</v>
      </c>
      <c r="P123" s="6" t="n">
        <f aca="false">ROUND(O123-H123,2)</f>
        <v>0</v>
      </c>
      <c r="Q123" s="5" t="n">
        <v>4</v>
      </c>
      <c r="R123" s="5" t="s">
        <v>23</v>
      </c>
      <c r="S123" s="6" t="n">
        <f aca="false">ROUND(H123/E123,2)</f>
        <v>231.23</v>
      </c>
    </row>
    <row r="124" customFormat="false" ht="15" hidden="false" customHeight="true" outlineLevel="0" collapsed="false">
      <c r="A124" s="4" t="n">
        <v>123</v>
      </c>
      <c r="B124" s="4" t="s">
        <v>281</v>
      </c>
      <c r="C124" s="4" t="s">
        <v>282</v>
      </c>
      <c r="D124" s="5" t="s">
        <v>113</v>
      </c>
      <c r="E124" s="5" t="n">
        <v>1</v>
      </c>
      <c r="F124" s="5" t="s">
        <v>22</v>
      </c>
      <c r="G124" s="6" t="n">
        <v>321</v>
      </c>
      <c r="H124" s="6" t="n">
        <v>231.23</v>
      </c>
      <c r="I124" s="7" t="n">
        <v>0.09</v>
      </c>
      <c r="J124" s="6" t="n">
        <f aca="false">ROUND(H124*I124,2)</f>
        <v>20.81</v>
      </c>
      <c r="K124" s="7" t="n">
        <v>0.09</v>
      </c>
      <c r="L124" s="6" t="n">
        <f aca="false">ROUND(H124*K124,2)</f>
        <v>20.81</v>
      </c>
      <c r="M124" s="6" t="n">
        <f aca="false">H124+J124+L124</f>
        <v>272.85</v>
      </c>
      <c r="N124" s="6" t="n">
        <f aca="false">G124*E124</f>
        <v>321</v>
      </c>
      <c r="O124" s="6" t="n">
        <f aca="false">ROUND(N124*0.85/1.18,2)</f>
        <v>231.23</v>
      </c>
      <c r="P124" s="6" t="n">
        <f aca="false">ROUND(O124-H124,2)</f>
        <v>0</v>
      </c>
      <c r="Q124" s="5" t="n">
        <v>4</v>
      </c>
      <c r="R124" s="5" t="s">
        <v>23</v>
      </c>
      <c r="S124" s="6" t="n">
        <f aca="false">ROUND(H124/E124,2)</f>
        <v>231.23</v>
      </c>
    </row>
    <row r="125" customFormat="false" ht="15" hidden="false" customHeight="true" outlineLevel="0" collapsed="false">
      <c r="A125" s="4" t="n">
        <v>124</v>
      </c>
      <c r="B125" s="4" t="s">
        <v>283</v>
      </c>
      <c r="C125" s="4" t="s">
        <v>284</v>
      </c>
      <c r="D125" s="5" t="s">
        <v>21</v>
      </c>
      <c r="E125" s="5" t="n">
        <v>3</v>
      </c>
      <c r="F125" s="5" t="s">
        <v>22</v>
      </c>
      <c r="G125" s="6" t="n">
        <v>838</v>
      </c>
      <c r="H125" s="6" t="n">
        <v>1810.93</v>
      </c>
      <c r="I125" s="7" t="n">
        <v>0.09</v>
      </c>
      <c r="J125" s="6" t="n">
        <f aca="false">ROUND(H125*I125,2)</f>
        <v>162.98</v>
      </c>
      <c r="K125" s="7" t="n">
        <v>0.09</v>
      </c>
      <c r="L125" s="6" t="n">
        <f aca="false">ROUND(H125*K125,2)</f>
        <v>162.98</v>
      </c>
      <c r="M125" s="6" t="n">
        <f aca="false">H125+J125+L125</f>
        <v>2136.89</v>
      </c>
      <c r="N125" s="6" t="n">
        <f aca="false">G125*E125</f>
        <v>2514</v>
      </c>
      <c r="O125" s="6" t="n">
        <f aca="false">ROUND(N125*0.85/1.18,2)</f>
        <v>1810.93</v>
      </c>
      <c r="P125" s="6" t="n">
        <f aca="false">ROUND(O125-H125,2)</f>
        <v>0</v>
      </c>
      <c r="Q125" s="5" t="n">
        <v>4</v>
      </c>
      <c r="R125" s="5" t="s">
        <v>23</v>
      </c>
      <c r="S125" s="6" t="n">
        <f aca="false">ROUND(H125/E125,2)</f>
        <v>603.64</v>
      </c>
    </row>
    <row r="126" customFormat="false" ht="15" hidden="false" customHeight="true" outlineLevel="0" collapsed="false">
      <c r="A126" s="4" t="n">
        <v>125</v>
      </c>
      <c r="B126" s="4" t="s">
        <v>285</v>
      </c>
      <c r="C126" s="4" t="s">
        <v>286</v>
      </c>
      <c r="D126" s="5" t="s">
        <v>21</v>
      </c>
      <c r="E126" s="5" t="n">
        <v>2</v>
      </c>
      <c r="F126" s="5" t="s">
        <v>22</v>
      </c>
      <c r="G126" s="6" t="n">
        <v>320</v>
      </c>
      <c r="H126" s="6" t="n">
        <v>461.02</v>
      </c>
      <c r="I126" s="7" t="n">
        <v>0.09</v>
      </c>
      <c r="J126" s="6" t="n">
        <f aca="false">ROUND(H126*I126,2)</f>
        <v>41.49</v>
      </c>
      <c r="K126" s="7" t="n">
        <v>0.09</v>
      </c>
      <c r="L126" s="6" t="n">
        <f aca="false">ROUND(H126*K126,2)</f>
        <v>41.49</v>
      </c>
      <c r="M126" s="6" t="n">
        <f aca="false">H126+J126+L126</f>
        <v>544</v>
      </c>
      <c r="N126" s="6" t="n">
        <f aca="false">G126*E126</f>
        <v>640</v>
      </c>
      <c r="O126" s="6" t="n">
        <f aca="false">ROUND(N126*0.85/1.18,2)</f>
        <v>461.02</v>
      </c>
      <c r="P126" s="6" t="n">
        <f aca="false">ROUND(O126-H126,2)</f>
        <v>0</v>
      </c>
      <c r="Q126" s="5" t="n">
        <v>4</v>
      </c>
      <c r="R126" s="5" t="s">
        <v>23</v>
      </c>
      <c r="S126" s="6" t="n">
        <f aca="false">ROUND(H126/E126,2)</f>
        <v>230.51</v>
      </c>
    </row>
    <row r="127" customFormat="false" ht="15" hidden="false" customHeight="true" outlineLevel="0" collapsed="false">
      <c r="A127" s="4" t="n">
        <v>126</v>
      </c>
      <c r="B127" s="4" t="s">
        <v>287</v>
      </c>
      <c r="C127" s="4" t="s">
        <v>288</v>
      </c>
      <c r="D127" s="5" t="s">
        <v>21</v>
      </c>
      <c r="E127" s="5" t="n">
        <v>2</v>
      </c>
      <c r="F127" s="5" t="s">
        <v>22</v>
      </c>
      <c r="G127" s="6" t="n">
        <v>377</v>
      </c>
      <c r="H127" s="6" t="n">
        <v>543.14</v>
      </c>
      <c r="I127" s="7" t="n">
        <v>0.09</v>
      </c>
      <c r="J127" s="6" t="n">
        <f aca="false">ROUND(H127*I127,2)</f>
        <v>48.88</v>
      </c>
      <c r="K127" s="7" t="n">
        <v>0.09</v>
      </c>
      <c r="L127" s="6" t="n">
        <f aca="false">ROUND(H127*K127,2)</f>
        <v>48.88</v>
      </c>
      <c r="M127" s="6" t="n">
        <f aca="false">H127+J127+L127</f>
        <v>640.9</v>
      </c>
      <c r="N127" s="6" t="n">
        <f aca="false">G127*E127</f>
        <v>754</v>
      </c>
      <c r="O127" s="6" t="n">
        <f aca="false">ROUND(N127*0.85/1.18,2)</f>
        <v>543.14</v>
      </c>
      <c r="P127" s="6" t="n">
        <f aca="false">ROUND(O127-H127,2)</f>
        <v>0</v>
      </c>
      <c r="Q127" s="5" t="n">
        <v>5</v>
      </c>
      <c r="R127" s="5" t="s">
        <v>23</v>
      </c>
      <c r="S127" s="6" t="n">
        <f aca="false">ROUND(H127/E127,2)</f>
        <v>271.57</v>
      </c>
    </row>
    <row r="128" customFormat="false" ht="15" hidden="false" customHeight="true" outlineLevel="0" collapsed="false">
      <c r="A128" s="4" t="n">
        <v>127</v>
      </c>
      <c r="B128" s="4" t="s">
        <v>289</v>
      </c>
      <c r="C128" s="4" t="s">
        <v>290</v>
      </c>
      <c r="D128" s="5" t="s">
        <v>291</v>
      </c>
      <c r="E128" s="5" t="n">
        <v>2</v>
      </c>
      <c r="F128" s="5" t="s">
        <v>22</v>
      </c>
      <c r="G128" s="6" t="n">
        <v>416</v>
      </c>
      <c r="H128" s="6" t="n">
        <v>599.32</v>
      </c>
      <c r="I128" s="7" t="n">
        <v>0.09</v>
      </c>
      <c r="J128" s="6" t="n">
        <f aca="false">ROUND(H128*I128,2)</f>
        <v>53.94</v>
      </c>
      <c r="K128" s="7" t="n">
        <v>0.09</v>
      </c>
      <c r="L128" s="6" t="n">
        <f aca="false">ROUND(H128*K128,2)</f>
        <v>53.94</v>
      </c>
      <c r="M128" s="6" t="n">
        <f aca="false">H128+J128+L128</f>
        <v>707.2</v>
      </c>
      <c r="N128" s="6" t="n">
        <f aca="false">G128*E128</f>
        <v>832</v>
      </c>
      <c r="O128" s="6" t="n">
        <f aca="false">ROUND(N128*0.85/1.18,2)</f>
        <v>599.32</v>
      </c>
      <c r="P128" s="6" t="n">
        <f aca="false">ROUND(O128-H128,2)</f>
        <v>0</v>
      </c>
      <c r="Q128" s="5" t="n">
        <v>5</v>
      </c>
      <c r="R128" s="5" t="s">
        <v>23</v>
      </c>
      <c r="S128" s="6" t="n">
        <f aca="false">ROUND(H128/E128,2)</f>
        <v>299.66</v>
      </c>
    </row>
    <row r="129" customFormat="false" ht="15" hidden="false" customHeight="true" outlineLevel="0" collapsed="false">
      <c r="A129" s="4" t="n">
        <v>128</v>
      </c>
      <c r="B129" s="4" t="s">
        <v>292</v>
      </c>
      <c r="C129" s="4" t="s">
        <v>293</v>
      </c>
      <c r="D129" s="5" t="s">
        <v>294</v>
      </c>
      <c r="E129" s="5" t="n">
        <v>2</v>
      </c>
      <c r="F129" s="5" t="s">
        <v>22</v>
      </c>
      <c r="G129" s="6" t="n">
        <v>405</v>
      </c>
      <c r="H129" s="6" t="n">
        <v>583.47</v>
      </c>
      <c r="I129" s="7" t="n">
        <v>0.09</v>
      </c>
      <c r="J129" s="6" t="n">
        <f aca="false">ROUND(H129*I129,2)</f>
        <v>52.51</v>
      </c>
      <c r="K129" s="7" t="n">
        <v>0.09</v>
      </c>
      <c r="L129" s="6" t="n">
        <f aca="false">ROUND(H129*K129,2)</f>
        <v>52.51</v>
      </c>
      <c r="M129" s="6" t="n">
        <f aca="false">H129+J129+L129</f>
        <v>688.49</v>
      </c>
      <c r="N129" s="6" t="n">
        <f aca="false">G129*E129</f>
        <v>810</v>
      </c>
      <c r="O129" s="6" t="n">
        <f aca="false">ROUND(N129*0.85/1.18,2)</f>
        <v>583.47</v>
      </c>
      <c r="P129" s="6" t="n">
        <f aca="false">ROUND(O129-H129,2)</f>
        <v>0</v>
      </c>
      <c r="Q129" s="5" t="n">
        <v>5</v>
      </c>
      <c r="R129" s="5" t="s">
        <v>23</v>
      </c>
      <c r="S129" s="6" t="n">
        <f aca="false">ROUND(H129/E129,2)</f>
        <v>291.74</v>
      </c>
    </row>
    <row r="130" customFormat="false" ht="15" hidden="false" customHeight="true" outlineLevel="0" collapsed="false">
      <c r="A130" s="4" t="n">
        <v>129</v>
      </c>
      <c r="B130" s="4" t="s">
        <v>295</v>
      </c>
      <c r="C130" s="4" t="s">
        <v>296</v>
      </c>
      <c r="D130" s="5" t="s">
        <v>21</v>
      </c>
      <c r="E130" s="5" t="n">
        <v>1</v>
      </c>
      <c r="F130" s="5" t="s">
        <v>22</v>
      </c>
      <c r="G130" s="6" t="n">
        <v>1567</v>
      </c>
      <c r="H130" s="6" t="n">
        <v>1128.77</v>
      </c>
      <c r="I130" s="7" t="n">
        <v>0.09</v>
      </c>
      <c r="J130" s="6" t="n">
        <f aca="false">ROUND(H130*I130,2)</f>
        <v>101.59</v>
      </c>
      <c r="K130" s="7" t="n">
        <v>0.09</v>
      </c>
      <c r="L130" s="6" t="n">
        <f aca="false">ROUND(H130*K130,2)</f>
        <v>101.59</v>
      </c>
      <c r="M130" s="6" t="n">
        <f aca="false">H130+J130+L130</f>
        <v>1331.95</v>
      </c>
      <c r="N130" s="6" t="n">
        <f aca="false">G130*E130</f>
        <v>1567</v>
      </c>
      <c r="O130" s="6" t="n">
        <f aca="false">ROUND(N130*0.85/1.18,2)</f>
        <v>1128.77</v>
      </c>
      <c r="P130" s="6" t="n">
        <f aca="false">ROUND(O130-H130,2)</f>
        <v>0</v>
      </c>
      <c r="Q130" s="5" t="n">
        <v>5</v>
      </c>
      <c r="R130" s="5" t="s">
        <v>23</v>
      </c>
      <c r="S130" s="6" t="n">
        <f aca="false">ROUND(H130/E130,2)</f>
        <v>1128.77</v>
      </c>
    </row>
    <row r="131" customFormat="false" ht="15" hidden="false" customHeight="true" outlineLevel="0" collapsed="false">
      <c r="A131" s="4" t="n">
        <v>130</v>
      </c>
      <c r="B131" s="4" t="s">
        <v>297</v>
      </c>
      <c r="C131" s="4" t="s">
        <v>298</v>
      </c>
      <c r="D131" s="5" t="s">
        <v>21</v>
      </c>
      <c r="E131" s="5" t="n">
        <v>1</v>
      </c>
      <c r="F131" s="5" t="s">
        <v>22</v>
      </c>
      <c r="G131" s="6" t="n">
        <v>1577</v>
      </c>
      <c r="H131" s="6" t="n">
        <v>1135.97</v>
      </c>
      <c r="I131" s="7" t="n">
        <v>0.09</v>
      </c>
      <c r="J131" s="6" t="n">
        <f aca="false">ROUND(H131*I131,2)</f>
        <v>102.24</v>
      </c>
      <c r="K131" s="7" t="n">
        <v>0.09</v>
      </c>
      <c r="L131" s="6" t="n">
        <f aca="false">ROUND(H131*K131,2)</f>
        <v>102.24</v>
      </c>
      <c r="M131" s="6" t="n">
        <f aca="false">H131+J131+L131</f>
        <v>1340.45</v>
      </c>
      <c r="N131" s="6" t="n">
        <f aca="false">G131*E131</f>
        <v>1577</v>
      </c>
      <c r="O131" s="6" t="n">
        <f aca="false">ROUND(N131*0.85/1.18,2)</f>
        <v>1135.97</v>
      </c>
      <c r="P131" s="6" t="n">
        <f aca="false">ROUND(O131-H131,2)</f>
        <v>0</v>
      </c>
      <c r="Q131" s="5" t="n">
        <v>5</v>
      </c>
      <c r="R131" s="5" t="s">
        <v>23</v>
      </c>
      <c r="S131" s="6" t="n">
        <f aca="false">ROUND(H131/E131,2)</f>
        <v>1135.97</v>
      </c>
    </row>
    <row r="132" customFormat="false" ht="15" hidden="false" customHeight="true" outlineLevel="0" collapsed="false">
      <c r="A132" s="4" t="n">
        <v>131</v>
      </c>
      <c r="B132" s="4" t="s">
        <v>299</v>
      </c>
      <c r="C132" s="4" t="s">
        <v>300</v>
      </c>
      <c r="D132" s="5" t="s">
        <v>21</v>
      </c>
      <c r="E132" s="5" t="n">
        <v>10</v>
      </c>
      <c r="F132" s="5" t="s">
        <v>22</v>
      </c>
      <c r="G132" s="6" t="n">
        <v>260</v>
      </c>
      <c r="H132" s="6" t="n">
        <v>1872.88</v>
      </c>
      <c r="I132" s="7" t="n">
        <v>0.09</v>
      </c>
      <c r="J132" s="6" t="n">
        <f aca="false">ROUND(H132*I132,2)</f>
        <v>168.56</v>
      </c>
      <c r="K132" s="7" t="n">
        <v>0.09</v>
      </c>
      <c r="L132" s="6" t="n">
        <f aca="false">ROUND(H132*K132,2)</f>
        <v>168.56</v>
      </c>
      <c r="M132" s="6" t="n">
        <f aca="false">H132+J132+L132</f>
        <v>2210</v>
      </c>
      <c r="N132" s="6" t="n">
        <f aca="false">G132*E132</f>
        <v>2600</v>
      </c>
      <c r="O132" s="6" t="n">
        <f aca="false">ROUND(N132*0.85/1.18,2)</f>
        <v>1872.88</v>
      </c>
      <c r="P132" s="6" t="n">
        <f aca="false">ROUND(O132-H132,2)</f>
        <v>0</v>
      </c>
      <c r="Q132" s="5" t="n">
        <v>5</v>
      </c>
      <c r="R132" s="5" t="s">
        <v>23</v>
      </c>
      <c r="S132" s="6" t="n">
        <f aca="false">ROUND(H132/E132,2)</f>
        <v>187.29</v>
      </c>
    </row>
    <row r="133" customFormat="false" ht="15" hidden="false" customHeight="true" outlineLevel="0" collapsed="false">
      <c r="A133" s="4" t="n">
        <v>132</v>
      </c>
      <c r="B133" s="4" t="s">
        <v>301</v>
      </c>
      <c r="C133" s="4" t="s">
        <v>302</v>
      </c>
      <c r="D133" s="5" t="s">
        <v>21</v>
      </c>
      <c r="E133" s="5" t="n">
        <v>2</v>
      </c>
      <c r="F133" s="5" t="s">
        <v>22</v>
      </c>
      <c r="G133" s="6" t="n">
        <v>361</v>
      </c>
      <c r="H133" s="6" t="n">
        <v>520.08</v>
      </c>
      <c r="I133" s="7" t="n">
        <v>0.09</v>
      </c>
      <c r="J133" s="6" t="n">
        <f aca="false">ROUND(H133*I133,2)</f>
        <v>46.81</v>
      </c>
      <c r="K133" s="7" t="n">
        <v>0.09</v>
      </c>
      <c r="L133" s="6" t="n">
        <f aca="false">ROUND(H133*K133,2)</f>
        <v>46.81</v>
      </c>
      <c r="M133" s="6" t="n">
        <f aca="false">H133+J133+L133</f>
        <v>613.7</v>
      </c>
      <c r="N133" s="6" t="n">
        <f aca="false">G133*E133</f>
        <v>722</v>
      </c>
      <c r="O133" s="6" t="n">
        <f aca="false">ROUND(N133*0.85/1.18,2)</f>
        <v>520.08</v>
      </c>
      <c r="P133" s="6" t="n">
        <f aca="false">ROUND(O133-H133,2)</f>
        <v>0</v>
      </c>
      <c r="Q133" s="5" t="n">
        <v>5</v>
      </c>
      <c r="R133" s="5" t="s">
        <v>23</v>
      </c>
      <c r="S133" s="6" t="n">
        <f aca="false">ROUND(H133/E133,2)</f>
        <v>260.04</v>
      </c>
    </row>
    <row r="134" customFormat="false" ht="15" hidden="false" customHeight="true" outlineLevel="0" collapsed="false">
      <c r="A134" s="4" t="n">
        <v>133</v>
      </c>
      <c r="B134" s="4" t="s">
        <v>303</v>
      </c>
      <c r="C134" s="4" t="s">
        <v>304</v>
      </c>
      <c r="D134" s="5" t="s">
        <v>21</v>
      </c>
      <c r="E134" s="5" t="n">
        <v>2</v>
      </c>
      <c r="F134" s="5" t="s">
        <v>22</v>
      </c>
      <c r="G134" s="6" t="n">
        <v>838</v>
      </c>
      <c r="H134" s="6" t="n">
        <v>1207.29</v>
      </c>
      <c r="I134" s="7" t="n">
        <v>0.09</v>
      </c>
      <c r="J134" s="6" t="n">
        <f aca="false">ROUND(H134*I134,2)</f>
        <v>108.66</v>
      </c>
      <c r="K134" s="7" t="n">
        <v>0.09</v>
      </c>
      <c r="L134" s="6" t="n">
        <f aca="false">ROUND(H134*K134,2)</f>
        <v>108.66</v>
      </c>
      <c r="M134" s="6" t="n">
        <f aca="false">H134+J134+L134</f>
        <v>1424.61</v>
      </c>
      <c r="N134" s="6" t="n">
        <f aca="false">G134*E134</f>
        <v>1676</v>
      </c>
      <c r="O134" s="6" t="n">
        <f aca="false">ROUND(N134*0.85/1.18,2)</f>
        <v>1207.29</v>
      </c>
      <c r="P134" s="6" t="n">
        <f aca="false">ROUND(O134-H134,2)</f>
        <v>0</v>
      </c>
      <c r="Q134" s="5" t="n">
        <v>5</v>
      </c>
      <c r="R134" s="5" t="s">
        <v>23</v>
      </c>
      <c r="S134" s="6" t="n">
        <f aca="false">ROUND(H134/E134,2)</f>
        <v>603.65</v>
      </c>
    </row>
    <row r="135" customFormat="false" ht="15" hidden="false" customHeight="true" outlineLevel="0" collapsed="false">
      <c r="A135" s="4" t="n">
        <v>134</v>
      </c>
      <c r="B135" s="4" t="s">
        <v>305</v>
      </c>
      <c r="C135" s="4" t="s">
        <v>306</v>
      </c>
      <c r="D135" s="5" t="s">
        <v>21</v>
      </c>
      <c r="E135" s="5" t="n">
        <v>3</v>
      </c>
      <c r="F135" s="5" t="s">
        <v>22</v>
      </c>
      <c r="G135" s="6" t="n">
        <v>838</v>
      </c>
      <c r="H135" s="6" t="n">
        <v>1810.93</v>
      </c>
      <c r="I135" s="7" t="n">
        <v>0.09</v>
      </c>
      <c r="J135" s="6" t="n">
        <f aca="false">ROUND(H135*I135,2)</f>
        <v>162.98</v>
      </c>
      <c r="K135" s="7" t="n">
        <v>0.09</v>
      </c>
      <c r="L135" s="6" t="n">
        <f aca="false">ROUND(H135*K135,2)</f>
        <v>162.98</v>
      </c>
      <c r="M135" s="6" t="n">
        <f aca="false">H135+J135+L135</f>
        <v>2136.89</v>
      </c>
      <c r="N135" s="6" t="n">
        <f aca="false">G135*E135</f>
        <v>2514</v>
      </c>
      <c r="O135" s="6" t="n">
        <f aca="false">ROUND(N135*0.85/1.18,2)</f>
        <v>1810.93</v>
      </c>
      <c r="P135" s="6" t="n">
        <f aca="false">ROUND(O135-H135,2)</f>
        <v>0</v>
      </c>
      <c r="Q135" s="5" t="n">
        <v>5</v>
      </c>
      <c r="R135" s="5" t="s">
        <v>23</v>
      </c>
      <c r="S135" s="6" t="n">
        <f aca="false">ROUND(H135/E135,2)</f>
        <v>603.64</v>
      </c>
    </row>
    <row r="136" customFormat="false" ht="15" hidden="false" customHeight="true" outlineLevel="0" collapsed="false">
      <c r="A136" s="4" t="n">
        <v>135</v>
      </c>
      <c r="B136" s="4" t="s">
        <v>307</v>
      </c>
      <c r="C136" s="4" t="s">
        <v>308</v>
      </c>
      <c r="D136" s="5" t="s">
        <v>21</v>
      </c>
      <c r="E136" s="5" t="n">
        <v>3</v>
      </c>
      <c r="F136" s="5" t="s">
        <v>22</v>
      </c>
      <c r="G136" s="6" t="n">
        <v>1055</v>
      </c>
      <c r="H136" s="6" t="n">
        <v>2279.87</v>
      </c>
      <c r="I136" s="7" t="n">
        <v>0.09</v>
      </c>
      <c r="J136" s="6" t="n">
        <f aca="false">ROUND(H136*I136,2)</f>
        <v>205.19</v>
      </c>
      <c r="K136" s="7" t="n">
        <v>0.09</v>
      </c>
      <c r="L136" s="6" t="n">
        <f aca="false">ROUND(H136*K136,2)</f>
        <v>205.19</v>
      </c>
      <c r="M136" s="6" t="n">
        <f aca="false">H136+J136+L136</f>
        <v>2690.25</v>
      </c>
      <c r="N136" s="6" t="n">
        <f aca="false">G136*E136</f>
        <v>3165</v>
      </c>
      <c r="O136" s="6" t="n">
        <f aca="false">ROUND(N136*0.85/1.18,2)</f>
        <v>2279.87</v>
      </c>
      <c r="P136" s="6" t="n">
        <f aca="false">ROUND(O136-H136,2)</f>
        <v>0</v>
      </c>
      <c r="Q136" s="5" t="n">
        <v>5</v>
      </c>
      <c r="R136" s="5" t="s">
        <v>23</v>
      </c>
      <c r="S136" s="6" t="n">
        <f aca="false">ROUND(H136/E136,2)</f>
        <v>759.96</v>
      </c>
    </row>
    <row r="137" customFormat="false" ht="15" hidden="false" customHeight="true" outlineLevel="0" collapsed="false">
      <c r="A137" s="4" t="n">
        <v>136</v>
      </c>
      <c r="B137" s="4" t="s">
        <v>309</v>
      </c>
      <c r="C137" s="4" t="s">
        <v>310</v>
      </c>
      <c r="D137" s="5" t="s">
        <v>21</v>
      </c>
      <c r="E137" s="5" t="n">
        <v>2</v>
      </c>
      <c r="F137" s="5" t="s">
        <v>22</v>
      </c>
      <c r="G137" s="6" t="n">
        <v>271</v>
      </c>
      <c r="H137" s="6" t="n">
        <v>390.42</v>
      </c>
      <c r="I137" s="7" t="n">
        <v>0.09</v>
      </c>
      <c r="J137" s="6" t="n">
        <f aca="false">ROUND(H137*I137,2)</f>
        <v>35.14</v>
      </c>
      <c r="K137" s="7" t="n">
        <v>0.09</v>
      </c>
      <c r="L137" s="6" t="n">
        <f aca="false">ROUND(H137*K137,2)</f>
        <v>35.14</v>
      </c>
      <c r="M137" s="6" t="n">
        <f aca="false">H137+J137+L137</f>
        <v>460.7</v>
      </c>
      <c r="N137" s="6" t="n">
        <f aca="false">G137*E137</f>
        <v>542</v>
      </c>
      <c r="O137" s="6" t="n">
        <f aca="false">ROUND(N137*0.85/1.18,2)</f>
        <v>390.42</v>
      </c>
      <c r="P137" s="6" t="n">
        <f aca="false">ROUND(O137-H137,2)</f>
        <v>0</v>
      </c>
      <c r="Q137" s="5" t="n">
        <v>5</v>
      </c>
      <c r="R137" s="5" t="s">
        <v>23</v>
      </c>
      <c r="S137" s="6" t="n">
        <f aca="false">ROUND(H137/E137,2)</f>
        <v>195.21</v>
      </c>
    </row>
    <row r="138" customFormat="false" ht="15" hidden="false" customHeight="true" outlineLevel="0" collapsed="false">
      <c r="A138" s="4" t="n">
        <v>137</v>
      </c>
      <c r="B138" s="4" t="s">
        <v>311</v>
      </c>
      <c r="C138" s="4" t="s">
        <v>312</v>
      </c>
      <c r="D138" s="5" t="s">
        <v>21</v>
      </c>
      <c r="E138" s="5" t="n">
        <v>2</v>
      </c>
      <c r="F138" s="5" t="s">
        <v>22</v>
      </c>
      <c r="G138" s="6" t="n">
        <v>320</v>
      </c>
      <c r="H138" s="6" t="n">
        <v>461.02</v>
      </c>
      <c r="I138" s="7" t="n">
        <v>0.09</v>
      </c>
      <c r="J138" s="6" t="n">
        <f aca="false">ROUND(H138*I138,2)</f>
        <v>41.49</v>
      </c>
      <c r="K138" s="7" t="n">
        <v>0.09</v>
      </c>
      <c r="L138" s="6" t="n">
        <f aca="false">ROUND(H138*K138,2)</f>
        <v>41.49</v>
      </c>
      <c r="M138" s="6" t="n">
        <f aca="false">H138+J138+L138</f>
        <v>544</v>
      </c>
      <c r="N138" s="6" t="n">
        <f aca="false">G138*E138</f>
        <v>640</v>
      </c>
      <c r="O138" s="6" t="n">
        <f aca="false">ROUND(N138*0.85/1.18,2)</f>
        <v>461.02</v>
      </c>
      <c r="P138" s="6" t="n">
        <f aca="false">ROUND(O138-H138,2)</f>
        <v>0</v>
      </c>
      <c r="Q138" s="5" t="n">
        <v>5</v>
      </c>
      <c r="R138" s="5" t="s">
        <v>23</v>
      </c>
      <c r="S138" s="6" t="n">
        <f aca="false">ROUND(H138/E138,2)</f>
        <v>230.51</v>
      </c>
    </row>
    <row r="139" customFormat="false" ht="15" hidden="false" customHeight="true" outlineLevel="0" collapsed="false">
      <c r="A139" s="4" t="n">
        <v>138</v>
      </c>
      <c r="B139" s="4" t="s">
        <v>313</v>
      </c>
      <c r="C139" s="4" t="s">
        <v>314</v>
      </c>
      <c r="D139" s="5" t="s">
        <v>21</v>
      </c>
      <c r="E139" s="5" t="n">
        <v>2</v>
      </c>
      <c r="F139" s="5" t="s">
        <v>22</v>
      </c>
      <c r="G139" s="6" t="n">
        <v>377</v>
      </c>
      <c r="H139" s="6" t="n">
        <v>543.14</v>
      </c>
      <c r="I139" s="7" t="n">
        <v>0.09</v>
      </c>
      <c r="J139" s="6" t="n">
        <f aca="false">ROUND(H139*I139,2)</f>
        <v>48.88</v>
      </c>
      <c r="K139" s="7" t="n">
        <v>0.09</v>
      </c>
      <c r="L139" s="6" t="n">
        <f aca="false">ROUND(H139*K139,2)</f>
        <v>48.88</v>
      </c>
      <c r="M139" s="6" t="n">
        <f aca="false">H139+J139+L139</f>
        <v>640.9</v>
      </c>
      <c r="N139" s="6" t="n">
        <f aca="false">G139*E139</f>
        <v>754</v>
      </c>
      <c r="O139" s="6" t="n">
        <f aca="false">ROUND(N139*0.85/1.18,2)</f>
        <v>543.14</v>
      </c>
      <c r="P139" s="6" t="n">
        <f aca="false">ROUND(O139-H139,2)</f>
        <v>0</v>
      </c>
      <c r="Q139" s="5" t="n">
        <v>5</v>
      </c>
      <c r="R139" s="5" t="s">
        <v>23</v>
      </c>
      <c r="S139" s="6" t="n">
        <f aca="false">ROUND(H139/E139,2)</f>
        <v>271.57</v>
      </c>
    </row>
    <row r="140" customFormat="false" ht="15" hidden="false" customHeight="true" outlineLevel="0" collapsed="false">
      <c r="A140" s="4" t="n">
        <v>139</v>
      </c>
      <c r="B140" s="4" t="s">
        <v>315</v>
      </c>
      <c r="C140" s="4" t="s">
        <v>316</v>
      </c>
      <c r="D140" s="5" t="s">
        <v>21</v>
      </c>
      <c r="E140" s="5" t="n">
        <v>2</v>
      </c>
      <c r="F140" s="5" t="s">
        <v>22</v>
      </c>
      <c r="G140" s="6" t="n">
        <v>271</v>
      </c>
      <c r="H140" s="6" t="n">
        <v>390.42</v>
      </c>
      <c r="I140" s="7" t="n">
        <v>0.09</v>
      </c>
      <c r="J140" s="6" t="n">
        <f aca="false">ROUND(H140*I140,2)</f>
        <v>35.14</v>
      </c>
      <c r="K140" s="7" t="n">
        <v>0.09</v>
      </c>
      <c r="L140" s="6" t="n">
        <f aca="false">ROUND(H140*K140,2)</f>
        <v>35.14</v>
      </c>
      <c r="M140" s="6" t="n">
        <f aca="false">H140+J140+L140</f>
        <v>460.7</v>
      </c>
      <c r="N140" s="6" t="n">
        <f aca="false">G140*E140</f>
        <v>542</v>
      </c>
      <c r="O140" s="6" t="n">
        <f aca="false">ROUND(N140*0.85/1.18,2)</f>
        <v>390.42</v>
      </c>
      <c r="P140" s="6" t="n">
        <f aca="false">ROUND(O140-H140,2)</f>
        <v>0</v>
      </c>
      <c r="Q140" s="5" t="n">
        <v>5</v>
      </c>
      <c r="R140" s="5" t="s">
        <v>23</v>
      </c>
      <c r="S140" s="6" t="n">
        <f aca="false">ROUND(H140/E140,2)</f>
        <v>195.21</v>
      </c>
    </row>
    <row r="141" customFormat="false" ht="15" hidden="false" customHeight="true" outlineLevel="0" collapsed="false">
      <c r="A141" s="4" t="n">
        <v>140</v>
      </c>
      <c r="B141" s="4" t="s">
        <v>317</v>
      </c>
      <c r="C141" s="4" t="s">
        <v>318</v>
      </c>
      <c r="D141" s="5" t="s">
        <v>21</v>
      </c>
      <c r="E141" s="5" t="n">
        <v>2</v>
      </c>
      <c r="F141" s="5" t="s">
        <v>22</v>
      </c>
      <c r="G141" s="6" t="n">
        <v>427</v>
      </c>
      <c r="H141" s="6" t="n">
        <v>615.17</v>
      </c>
      <c r="I141" s="7" t="n">
        <v>0.09</v>
      </c>
      <c r="J141" s="6" t="n">
        <f aca="false">ROUND(H141*I141,2)</f>
        <v>55.37</v>
      </c>
      <c r="K141" s="7" t="n">
        <v>0.09</v>
      </c>
      <c r="L141" s="6" t="n">
        <f aca="false">ROUND(H141*K141,2)</f>
        <v>55.37</v>
      </c>
      <c r="M141" s="6" t="n">
        <f aca="false">H141+J141+L141</f>
        <v>725.91</v>
      </c>
      <c r="N141" s="6" t="n">
        <f aca="false">G141*E141</f>
        <v>854</v>
      </c>
      <c r="O141" s="6" t="n">
        <f aca="false">ROUND(N141*0.85/1.18,2)</f>
        <v>615.17</v>
      </c>
      <c r="P141" s="6" t="n">
        <f aca="false">ROUND(O141-H141,2)</f>
        <v>0</v>
      </c>
      <c r="Q141" s="5" t="n">
        <v>5</v>
      </c>
      <c r="R141" s="5" t="s">
        <v>23</v>
      </c>
      <c r="S141" s="6" t="n">
        <f aca="false">ROUND(H141/E141,2)</f>
        <v>307.59</v>
      </c>
    </row>
    <row r="142" customFormat="false" ht="15" hidden="false" customHeight="true" outlineLevel="0" collapsed="false">
      <c r="A142" s="4" t="n">
        <v>141</v>
      </c>
      <c r="B142" s="4" t="s">
        <v>319</v>
      </c>
      <c r="C142" s="4" t="s">
        <v>320</v>
      </c>
      <c r="D142" s="5" t="s">
        <v>21</v>
      </c>
      <c r="E142" s="5" t="n">
        <v>3</v>
      </c>
      <c r="F142" s="5" t="s">
        <v>22</v>
      </c>
      <c r="G142" s="6" t="n">
        <v>183</v>
      </c>
      <c r="H142" s="6" t="n">
        <v>395.47</v>
      </c>
      <c r="I142" s="7" t="n">
        <v>0.09</v>
      </c>
      <c r="J142" s="6" t="n">
        <f aca="false">ROUND(H142*I142,2)</f>
        <v>35.59</v>
      </c>
      <c r="K142" s="7" t="n">
        <v>0.09</v>
      </c>
      <c r="L142" s="6" t="n">
        <f aca="false">ROUND(H142*K142,2)</f>
        <v>35.59</v>
      </c>
      <c r="M142" s="6" t="n">
        <f aca="false">H142+J142+L142</f>
        <v>466.65</v>
      </c>
      <c r="N142" s="6" t="n">
        <f aca="false">G142*E142</f>
        <v>549</v>
      </c>
      <c r="O142" s="6" t="n">
        <f aca="false">ROUND(N142*0.85/1.18,2)</f>
        <v>395.47</v>
      </c>
      <c r="P142" s="6" t="n">
        <f aca="false">ROUND(O142-H142,2)</f>
        <v>0</v>
      </c>
      <c r="Q142" s="5" t="n">
        <v>5</v>
      </c>
      <c r="R142" s="5" t="s">
        <v>23</v>
      </c>
      <c r="S142" s="6" t="n">
        <f aca="false">ROUND(H142/E142,2)</f>
        <v>131.82</v>
      </c>
    </row>
    <row r="143" customFormat="false" ht="15" hidden="false" customHeight="true" outlineLevel="0" collapsed="false">
      <c r="A143" s="4" t="n">
        <v>142</v>
      </c>
      <c r="B143" s="4" t="s">
        <v>321</v>
      </c>
      <c r="C143" s="4" t="s">
        <v>60</v>
      </c>
      <c r="D143" s="5" t="s">
        <v>32</v>
      </c>
      <c r="E143" s="5" t="n">
        <v>2</v>
      </c>
      <c r="F143" s="5" t="s">
        <v>22</v>
      </c>
      <c r="G143" s="6" t="n">
        <v>729</v>
      </c>
      <c r="H143" s="6" t="n">
        <v>1050.25</v>
      </c>
      <c r="I143" s="7" t="n">
        <v>0.09</v>
      </c>
      <c r="J143" s="6" t="n">
        <f aca="false">ROUND(H143*I143,2)</f>
        <v>94.52</v>
      </c>
      <c r="K143" s="7" t="n">
        <v>0.09</v>
      </c>
      <c r="L143" s="6" t="n">
        <f aca="false">ROUND(H143*K143,2)</f>
        <v>94.52</v>
      </c>
      <c r="M143" s="6" t="n">
        <f aca="false">H143+J143+L143</f>
        <v>1239.29</v>
      </c>
      <c r="N143" s="6" t="n">
        <f aca="false">G143*E143</f>
        <v>1458</v>
      </c>
      <c r="O143" s="6" t="n">
        <f aca="false">ROUND(N143*0.85/1.18,2)</f>
        <v>1050.25</v>
      </c>
      <c r="P143" s="6" t="n">
        <f aca="false">ROUND(O143-H143,2)</f>
        <v>0</v>
      </c>
      <c r="Q143" s="5" t="n">
        <v>5</v>
      </c>
      <c r="R143" s="5" t="s">
        <v>23</v>
      </c>
      <c r="S143" s="6" t="n">
        <f aca="false">ROUND(H143/E143,2)</f>
        <v>525.13</v>
      </c>
    </row>
    <row r="144" customFormat="false" ht="15" hidden="false" customHeight="true" outlineLevel="0" collapsed="false">
      <c r="A144" s="8" t="s">
        <v>322</v>
      </c>
      <c r="B144" s="8"/>
      <c r="C144" s="8" t="s">
        <v>323</v>
      </c>
      <c r="D144" s="8"/>
      <c r="E144" s="8" t="n">
        <f aca="false">SUM(E2:E143)</f>
        <v>602</v>
      </c>
      <c r="F144" s="8"/>
      <c r="G144" s="8"/>
      <c r="H144" s="9" t="n">
        <f aca="false">SUM(H2:H143)</f>
        <v>97106.02</v>
      </c>
      <c r="I144" s="8"/>
      <c r="J144" s="9" t="n">
        <f aca="false">SUM(J2:J143)</f>
        <v>8739.57</v>
      </c>
      <c r="K144" s="8"/>
      <c r="L144" s="9" t="n">
        <f aca="false">SUM(L2:L143)</f>
        <v>8739.57</v>
      </c>
      <c r="M144" s="9" t="n">
        <f aca="false">SUM(M2:M143)</f>
        <v>114585.16</v>
      </c>
      <c r="N144" s="9" t="n">
        <f aca="false">SUM(N2:N143)</f>
        <v>134806</v>
      </c>
      <c r="O144" s="9" t="n">
        <f aca="false">SUM(O2:O143)</f>
        <v>97106.02</v>
      </c>
      <c r="P144" s="9" t="n">
        <f aca="false">SUM(P2:P143)</f>
        <v>0</v>
      </c>
      <c r="Q144" s="8"/>
      <c r="R144" s="8"/>
      <c r="S144" s="8" t="s">
        <v>324</v>
      </c>
    </row>
    <row r="146" customFormat="false" ht="31.5" hidden="false" customHeight="true" outlineLevel="0" collapsed="false">
      <c r="A146" s="10" t="s">
        <v>325</v>
      </c>
    </row>
    <row r="147" customFormat="false" ht="31.5" hidden="false" customHeight="true" outlineLevel="0" collapsed="false">
      <c r="A147" s="10" t="s">
        <v>326</v>
      </c>
    </row>
    <row r="148" customFormat="false" ht="31.5" hidden="false" customHeight="true" outlineLevel="0" collapsed="false">
      <c r="A148" s="10" t="s">
        <v>327</v>
      </c>
    </row>
    <row r="149" customFormat="false" ht="31.5" hidden="false" customHeight="true" outlineLevel="0" collapsed="false">
      <c r="A149" s="10" t="s">
        <v>328</v>
      </c>
    </row>
    <row r="150" customFormat="false" ht="31.5" hidden="false" customHeight="true" outlineLevel="0" collapsed="false">
      <c r="A150" s="10" t="s">
        <v>329</v>
      </c>
    </row>
    <row r="151" customFormat="false" ht="30" hidden="false" customHeight="true" outlineLevel="0" collapsed="false">
      <c r="A151" s="11" t="s">
        <v>330</v>
      </c>
    </row>
    <row r="152" customFormat="false" ht="30" hidden="false" customHeight="true" outlineLevel="0" collapsed="false">
      <c r="A152" s="11" t="s">
        <v>330</v>
      </c>
    </row>
  </sheetData>
  <autoFilter ref="A1:R1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3" min="3" style="1" width="16"/>
    <col collapsed="false" customWidth="true" hidden="false" outlineLevel="0" max="4" min="4" style="1" width="18"/>
    <col collapsed="false" customWidth="true" hidden="false" outlineLevel="0" max="5" min="5" style="1" width="10"/>
  </cols>
  <sheetData>
    <row r="1" customFormat="false" ht="15.75" hidden="false" customHeight="true" outlineLevel="0" collapsed="false">
      <c r="A1" s="12" t="s">
        <v>331</v>
      </c>
    </row>
    <row r="2" customFormat="false" ht="15" hidden="false" customHeight="true" outlineLevel="0" collapsed="false">
      <c r="A2" s="13" t="s">
        <v>332</v>
      </c>
    </row>
    <row r="4" customFormat="false" ht="30" hidden="false" customHeight="true" outlineLevel="0" collapsed="false">
      <c r="A4" s="14" t="s">
        <v>16</v>
      </c>
      <c r="B4" s="14" t="s">
        <v>333</v>
      </c>
      <c r="C4" s="14" t="s">
        <v>334</v>
      </c>
      <c r="D4" s="14" t="s">
        <v>335</v>
      </c>
      <c r="E4" s="14" t="s">
        <v>15</v>
      </c>
    </row>
    <row r="5" customFormat="false" ht="15" hidden="false" customHeight="true" outlineLevel="0" collapsed="false">
      <c r="A5" s="5" t="n">
        <v>1</v>
      </c>
      <c r="B5" s="5" t="s">
        <v>336</v>
      </c>
      <c r="C5" s="15" t="n">
        <v>24165.26</v>
      </c>
      <c r="D5" s="6" t="n">
        <f aca="false">ROUND(SUMPRODUCT(--('Line Items'!$A$2:$A$143&lt;=32),ROUND('Line Items'!$G$2:$G$143*'Line Items'!$E$2:$E$143/1.18,2)),2)</f>
        <v>24165.25</v>
      </c>
      <c r="E5" s="6" t="n">
        <f aca="false">ROUND(D5-C5,2)</f>
        <v>-0.01</v>
      </c>
    </row>
    <row r="6" customFormat="false" ht="15" hidden="false" customHeight="true" outlineLevel="0" collapsed="false">
      <c r="A6" s="5" t="n">
        <v>2</v>
      </c>
      <c r="B6" s="5" t="s">
        <v>337</v>
      </c>
      <c r="C6" s="15" t="n">
        <v>49516.11</v>
      </c>
      <c r="D6" s="6" t="n">
        <f aca="false">ROUND(SUMPRODUCT(--('Line Items'!$A$2:$A$143&lt;=63),ROUND('Line Items'!$G$2:$G$143*'Line Items'!$E$2:$E$143/1.18,2)),2)</f>
        <v>49516.09</v>
      </c>
      <c r="E6" s="6" t="n">
        <f aca="false">ROUND(D6-C6,2)</f>
        <v>-0.02</v>
      </c>
    </row>
    <row r="7" customFormat="false" ht="15" hidden="false" customHeight="true" outlineLevel="0" collapsed="false">
      <c r="A7" s="5" t="n">
        <v>3</v>
      </c>
      <c r="B7" s="5" t="s">
        <v>338</v>
      </c>
      <c r="C7" s="15" t="n">
        <v>75811.03</v>
      </c>
      <c r="D7" s="6" t="n">
        <f aca="false">ROUND(SUMPRODUCT(--('Line Items'!$A$2:$A$143&lt;=94),ROUND('Line Items'!$G$2:$G$143*'Line Items'!$E$2:$E$143/1.18,2)),2)</f>
        <v>75811.01</v>
      </c>
      <c r="E7" s="6" t="n">
        <f aca="false">ROUND(D7-C7,2)</f>
        <v>-0.02</v>
      </c>
    </row>
    <row r="8" customFormat="false" ht="15" hidden="false" customHeight="true" outlineLevel="0" collapsed="false">
      <c r="A8" s="5" t="n">
        <v>4</v>
      </c>
      <c r="B8" s="5" t="s">
        <v>339</v>
      </c>
      <c r="C8" s="15" t="n">
        <v>95974.56</v>
      </c>
      <c r="D8" s="6" t="n">
        <f aca="false">ROUND(SUMPRODUCT(--('Line Items'!$A$2:$A$143&lt;=125),ROUND('Line Items'!$G$2:$G$143*'Line Items'!$E$2:$E$143/1.18,2)),2)</f>
        <v>95974.53</v>
      </c>
      <c r="E8" s="6" t="n">
        <f aca="false">ROUND(D8-C8,2)</f>
        <v>-0.03</v>
      </c>
    </row>
    <row r="9" customFormat="false" ht="15" hidden="false" customHeight="true" outlineLevel="0" collapsed="false">
      <c r="A9" s="5" t="n">
        <v>5</v>
      </c>
      <c r="B9" s="5" t="s">
        <v>340</v>
      </c>
      <c r="C9" s="16" t="s">
        <v>341</v>
      </c>
      <c r="D9" s="6" t="n">
        <f aca="false">ROUND(SUMPRODUCT(ROUND('Line Items'!$G$2:$G$143*'Line Items'!$E$2:$E$143/1.18,2)),2)</f>
        <v>114242.3</v>
      </c>
      <c r="E9" s="6"/>
    </row>
    <row r="12" customFormat="false" ht="15.75" hidden="false" customHeight="true" outlineLevel="0" collapsed="false">
      <c r="A12" s="12" t="s">
        <v>342</v>
      </c>
    </row>
    <row r="13" customFormat="false" ht="23.25" hidden="false" customHeight="true" outlineLevel="0" collapsed="false">
      <c r="A13" s="14" t="s">
        <v>343</v>
      </c>
      <c r="B13" s="14" t="s">
        <v>344</v>
      </c>
      <c r="C13" s="14" t="s">
        <v>345</v>
      </c>
      <c r="D13" s="14" t="s">
        <v>15</v>
      </c>
    </row>
    <row r="14" customFormat="false" ht="15" hidden="false" customHeight="true" outlineLevel="0" collapsed="false">
      <c r="A14" s="4" t="s">
        <v>346</v>
      </c>
      <c r="B14" s="15" t="n">
        <v>135171</v>
      </c>
      <c r="C14" s="6" t="n">
        <f aca="false">'Line Items'!N144</f>
        <v>134806</v>
      </c>
      <c r="D14" s="6" t="n">
        <f aca="false">ROUND(C14-B14,2)</f>
        <v>-365</v>
      </c>
    </row>
    <row r="15" customFormat="false" ht="15" hidden="false" customHeight="true" outlineLevel="0" collapsed="false">
      <c r="A15" s="4" t="s">
        <v>347</v>
      </c>
      <c r="B15" s="15" t="n">
        <v>20220.9</v>
      </c>
      <c r="C15" s="6" t="n">
        <f aca="false">ROUND('Line Items'!N144*0.15,2)</f>
        <v>20220.9</v>
      </c>
      <c r="D15" s="6" t="n">
        <f aca="false">ROUND(C15-B15,2)</f>
        <v>0</v>
      </c>
    </row>
    <row r="16" customFormat="false" ht="15" hidden="false" customHeight="true" outlineLevel="0" collapsed="false">
      <c r="A16" s="4" t="s">
        <v>348</v>
      </c>
      <c r="B16" s="15" t="n">
        <v>97415.28</v>
      </c>
      <c r="C16" s="6" t="n">
        <f aca="false">'Line Items'!H144</f>
        <v>97106.02</v>
      </c>
      <c r="D16" s="6" t="n">
        <f aca="false">ROUND(C16-B16,2)</f>
        <v>-309.26</v>
      </c>
    </row>
    <row r="17" customFormat="false" ht="15" hidden="false" customHeight="true" outlineLevel="0" collapsed="false">
      <c r="A17" s="4" t="s">
        <v>349</v>
      </c>
      <c r="B17" s="15" t="n">
        <v>8767.41</v>
      </c>
      <c r="C17" s="6" t="n">
        <f aca="false">'Line Items'!L144</f>
        <v>8739.57</v>
      </c>
      <c r="D17" s="6" t="n">
        <f aca="false">ROUND(C17-B17,2)</f>
        <v>-27.84</v>
      </c>
    </row>
    <row r="18" customFormat="false" ht="15" hidden="false" customHeight="true" outlineLevel="0" collapsed="false">
      <c r="A18" s="4" t="s">
        <v>350</v>
      </c>
      <c r="B18" s="15" t="n">
        <v>8767.41</v>
      </c>
      <c r="C18" s="6" t="n">
        <f aca="false">'Line Items'!J144</f>
        <v>8739.57</v>
      </c>
      <c r="D18" s="6" t="n">
        <f aca="false">ROUND(C18-B18,2)</f>
        <v>-27.84</v>
      </c>
    </row>
    <row r="19" customFormat="false" ht="15" hidden="false" customHeight="true" outlineLevel="0" collapsed="false">
      <c r="A19" s="8" t="s">
        <v>351</v>
      </c>
      <c r="B19" s="9" t="n">
        <v>114950</v>
      </c>
      <c r="C19" s="9" t="n">
        <f aca="false">'Line Items'!M144</f>
        <v>114585.16</v>
      </c>
      <c r="D19" s="9" t="n">
        <f aca="false">ROUND(C19-B19,2)</f>
        <v>-364.84</v>
      </c>
    </row>
    <row r="21" customFormat="false" ht="15" hidden="false" customHeight="true" outlineLevel="0" collapsed="false">
      <c r="A21" s="17" t="s">
        <v>352</v>
      </c>
    </row>
    <row r="22" customFormat="false" ht="33.75" hidden="false" customHeight="true" outlineLevel="0" collapsed="false">
      <c r="A22" s="18" t="s">
        <v>353</v>
      </c>
    </row>
    <row r="23" customFormat="false" ht="33.75" hidden="false" customHeight="true" outlineLevel="0" collapsed="false">
      <c r="A23" s="18" t="s">
        <v>354</v>
      </c>
    </row>
    <row r="24" customFormat="false" ht="33.75" hidden="false" customHeight="true" outlineLevel="0" collapsed="false">
      <c r="A24" s="18" t="s">
        <v>355</v>
      </c>
    </row>
    <row r="25" customFormat="false" ht="33.75" hidden="false" customHeight="true" outlineLevel="0" collapsed="false">
      <c r="A25" s="18" t="s">
        <v>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62"/>
  </cols>
  <sheetData>
    <row r="1" customFormat="false" ht="15.75" hidden="false" customHeight="true" outlineLevel="0" collapsed="false">
      <c r="A1" s="12" t="s">
        <v>357</v>
      </c>
    </row>
    <row r="3" customFormat="false" ht="15" hidden="false" customHeight="true" outlineLevel="0" collapsed="false">
      <c r="A3" s="19" t="s">
        <v>358</v>
      </c>
      <c r="B3" s="20" t="s">
        <v>359</v>
      </c>
    </row>
    <row r="4" customFormat="false" ht="15" hidden="false" customHeight="true" outlineLevel="0" collapsed="false">
      <c r="A4" s="19" t="s">
        <v>360</v>
      </c>
      <c r="B4" s="20" t="s">
        <v>361</v>
      </c>
    </row>
    <row r="5" customFormat="false" ht="15" hidden="false" customHeight="true" outlineLevel="0" collapsed="false">
      <c r="A5" s="19" t="s">
        <v>362</v>
      </c>
      <c r="B5" s="20" t="s">
        <v>363</v>
      </c>
    </row>
    <row r="6" customFormat="false" ht="15" hidden="false" customHeight="true" outlineLevel="0" collapsed="false">
      <c r="A6" s="19" t="s">
        <v>364</v>
      </c>
      <c r="B6" s="20" t="s">
        <v>365</v>
      </c>
    </row>
    <row r="7" customFormat="false" ht="15" hidden="false" customHeight="true" outlineLevel="0" collapsed="false">
      <c r="A7" s="19" t="s">
        <v>366</v>
      </c>
      <c r="B7" s="20" t="s">
        <v>367</v>
      </c>
    </row>
    <row r="8" customFormat="false" ht="15" hidden="false" customHeight="true" outlineLevel="0" collapsed="false">
      <c r="A8" s="19" t="s">
        <v>368</v>
      </c>
      <c r="B8" s="20" t="s">
        <v>369</v>
      </c>
    </row>
    <row r="9" customFormat="false" ht="15" hidden="false" customHeight="true" outlineLevel="0" collapsed="false">
      <c r="A9" s="19" t="s">
        <v>370</v>
      </c>
      <c r="B9" s="20" t="s">
        <v>371</v>
      </c>
    </row>
    <row r="10" customFormat="false" ht="15" hidden="false" customHeight="true" outlineLevel="0" collapsed="false">
      <c r="A10" s="19" t="s">
        <v>372</v>
      </c>
      <c r="B10" s="20" t="s">
        <v>373</v>
      </c>
    </row>
    <row r="11" customFormat="false" ht="15" hidden="false" customHeight="true" outlineLevel="0" collapsed="false">
      <c r="A11" s="19" t="s">
        <v>374</v>
      </c>
      <c r="B11" s="20" t="s">
        <v>357</v>
      </c>
    </row>
    <row r="12" customFormat="false" ht="15" hidden="false" customHeight="true" outlineLevel="0" collapsed="false">
      <c r="A12" s="19" t="s">
        <v>375</v>
      </c>
      <c r="B12" s="20" t="s">
        <v>376</v>
      </c>
    </row>
    <row r="13" customFormat="false" ht="23.25" hidden="false" customHeight="true" outlineLevel="0" collapsed="false">
      <c r="A13" s="19" t="s">
        <v>377</v>
      </c>
      <c r="B13" s="20" t="s">
        <v>378</v>
      </c>
    </row>
    <row r="14" customFormat="false" ht="15" hidden="false" customHeight="true" outlineLevel="0" collapsed="false">
      <c r="A14" s="19" t="s">
        <v>379</v>
      </c>
      <c r="B14" s="20" t="s">
        <v>380</v>
      </c>
    </row>
    <row r="15" customFormat="false" ht="15" hidden="false" customHeight="true" outlineLevel="0" collapsed="false">
      <c r="A15" s="19" t="s">
        <v>381</v>
      </c>
      <c r="B15" s="20" t="s">
        <v>382</v>
      </c>
    </row>
    <row r="16" customFormat="false" ht="15" hidden="false" customHeight="true" outlineLevel="0" collapsed="false">
      <c r="A16" s="19" t="s">
        <v>383</v>
      </c>
      <c r="B16" s="20" t="s">
        <v>384</v>
      </c>
    </row>
    <row r="17" customFormat="false" ht="15" hidden="false" customHeight="true" outlineLevel="0" collapsed="false">
      <c r="A17" s="19" t="s">
        <v>385</v>
      </c>
      <c r="B17" s="20" t="s">
        <v>386</v>
      </c>
    </row>
    <row r="18" customFormat="false" ht="15" hidden="false" customHeight="true" outlineLevel="0" collapsed="false">
      <c r="A18" s="19" t="s">
        <v>387</v>
      </c>
      <c r="B18" s="20" t="s">
        <v>388</v>
      </c>
    </row>
    <row r="19" customFormat="false" ht="15" hidden="false" customHeight="true" outlineLevel="0" collapsed="false">
      <c r="A19" s="19" t="s">
        <v>389</v>
      </c>
      <c r="B19" s="20" t="s">
        <v>390</v>
      </c>
    </row>
    <row r="20" customFormat="false" ht="15" hidden="false" customHeight="true" outlineLevel="0" collapsed="false">
      <c r="A20" s="19" t="s">
        <v>391</v>
      </c>
      <c r="B20" s="20" t="s">
        <v>373</v>
      </c>
    </row>
    <row r="21" customFormat="false" ht="15" hidden="false" customHeight="true" outlineLevel="0" collapsed="false">
      <c r="A21" s="19" t="s">
        <v>392</v>
      </c>
      <c r="B21" s="20" t="s">
        <v>393</v>
      </c>
    </row>
    <row r="22" customFormat="false" ht="23.25" hidden="false" customHeight="true" outlineLevel="0" collapsed="false">
      <c r="A22" s="19" t="s">
        <v>394</v>
      </c>
      <c r="B22" s="20" t="s">
        <v>395</v>
      </c>
    </row>
    <row r="23" customFormat="false" ht="15" hidden="false" customHeight="true" outlineLevel="0" collapsed="false">
      <c r="A23" s="19" t="s">
        <v>396</v>
      </c>
      <c r="B23" s="20" t="s">
        <v>397</v>
      </c>
    </row>
    <row r="25" customFormat="false" ht="15.75" hidden="false" customHeight="true" outlineLevel="0" collapsed="false">
      <c r="A25" s="12" t="s">
        <v>398</v>
      </c>
    </row>
    <row r="26" customFormat="false" ht="15" hidden="false" customHeight="true" outlineLevel="0" collapsed="false">
      <c r="A26" s="21" t="s">
        <v>399</v>
      </c>
      <c r="B26" s="22" t="n">
        <v>135171</v>
      </c>
    </row>
    <row r="27" customFormat="false" ht="15" hidden="false" customHeight="true" outlineLevel="0" collapsed="false">
      <c r="A27" s="21" t="s">
        <v>400</v>
      </c>
      <c r="B27" s="22" t="n">
        <v>20220.9</v>
      </c>
    </row>
    <row r="28" customFormat="false" ht="15" hidden="false" customHeight="true" outlineLevel="0" collapsed="false">
      <c r="A28" s="21" t="s">
        <v>401</v>
      </c>
      <c r="B28" s="22" t="n">
        <v>97415.28</v>
      </c>
    </row>
    <row r="29" customFormat="false" ht="15" hidden="false" customHeight="true" outlineLevel="0" collapsed="false">
      <c r="A29" s="21" t="s">
        <v>402</v>
      </c>
      <c r="B29" s="22" t="n">
        <v>8767.41</v>
      </c>
    </row>
    <row r="30" customFormat="false" ht="15" hidden="false" customHeight="true" outlineLevel="0" collapsed="false">
      <c r="A30" s="21" t="s">
        <v>403</v>
      </c>
      <c r="B30" s="22" t="n">
        <v>8767.41</v>
      </c>
    </row>
    <row r="31" customFormat="false" ht="15" hidden="false" customHeight="true" outlineLevel="0" collapsed="false">
      <c r="A31" s="21" t="s">
        <v>404</v>
      </c>
      <c r="B31" s="22" t="n">
        <v>17534.82</v>
      </c>
    </row>
    <row r="32" customFormat="false" ht="15" hidden="false" customHeight="true" outlineLevel="0" collapsed="false">
      <c r="A32" s="21" t="s">
        <v>405</v>
      </c>
      <c r="B32" s="22" t="n">
        <v>0</v>
      </c>
    </row>
    <row r="33" customFormat="false" ht="15" hidden="false" customHeight="true" outlineLevel="0" collapsed="false">
      <c r="A33" s="21" t="s">
        <v>351</v>
      </c>
      <c r="B33" s="22" t="n">
        <v>114950</v>
      </c>
    </row>
    <row r="34" customFormat="false" ht="15" hidden="false" customHeight="true" outlineLevel="0" collapsed="false">
      <c r="A34" s="21" t="s">
        <v>406</v>
      </c>
      <c r="B34" s="23" t="s">
        <v>407</v>
      </c>
    </row>
    <row r="35" customFormat="false" ht="15" hidden="false" customHeight="true" outlineLevel="0" collapsed="false">
      <c r="A35" s="21" t="s">
        <v>408</v>
      </c>
      <c r="B35" s="22" t="n">
        <v>244350</v>
      </c>
    </row>
    <row r="36" customFormat="false" ht="15" hidden="false" customHeight="true" outlineLevel="0" collapsed="false">
      <c r="A36" s="21" t="s">
        <v>409</v>
      </c>
      <c r="B36" s="22" t="n">
        <v>359300</v>
      </c>
    </row>
    <row r="37" customFormat="false" ht="15" hidden="false" customHeight="true" outlineLevel="0" collapsed="false">
      <c r="A37" s="21" t="s">
        <v>410</v>
      </c>
      <c r="B37" s="22" t="n">
        <v>135171</v>
      </c>
    </row>
    <row r="38" customFormat="false" ht="15" hidden="false" customHeight="true" outlineLevel="0" collapsed="false">
      <c r="A38" s="21" t="s">
        <v>411</v>
      </c>
      <c r="B38" s="22" t="n">
        <v>97415.28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9"/>
    <col collapsed="false" customWidth="true" hidden="false" outlineLevel="0" max="3" min="3" style="1" width="10"/>
    <col collapsed="false" customWidth="true" hidden="false" outlineLevel="0" max="4" min="4" style="1" width="15"/>
    <col collapsed="false" customWidth="true" hidden="false" outlineLevel="0" max="6" min="5" style="1" width="13"/>
    <col collapsed="false" customWidth="true" hidden="false" outlineLevel="0" max="7" min="7" style="1" width="16"/>
  </cols>
  <sheetData>
    <row r="1" customFormat="false" ht="15.75" hidden="false" customHeight="true" outlineLevel="0" collapsed="false">
      <c r="A1" s="12" t="s">
        <v>412</v>
      </c>
    </row>
    <row r="3" customFormat="false" ht="15" hidden="false" customHeight="true" outlineLevel="0" collapsed="false">
      <c r="A3" s="24" t="s">
        <v>3</v>
      </c>
      <c r="B3" s="24" t="s">
        <v>413</v>
      </c>
      <c r="C3" s="24" t="s">
        <v>4</v>
      </c>
      <c r="D3" s="24" t="s">
        <v>414</v>
      </c>
      <c r="E3" s="24" t="s">
        <v>415</v>
      </c>
      <c r="F3" s="24" t="s">
        <v>416</v>
      </c>
      <c r="G3" s="24" t="s">
        <v>417</v>
      </c>
    </row>
    <row r="4" customFormat="false" ht="15" hidden="false" customHeight="true" outlineLevel="0" collapsed="false">
      <c r="A4" s="5" t="s">
        <v>240</v>
      </c>
      <c r="B4" s="4" t="n">
        <f aca="false">COUNTIF('Line Items'!$D$2:$D$143,$A4)</f>
        <v>1</v>
      </c>
      <c r="C4" s="4" t="n">
        <f aca="false">SUMIF('Line Items'!$D$2:$D$143,$A4,'Line Items'!$E$2:$E$143)</f>
        <v>20</v>
      </c>
      <c r="D4" s="6" t="n">
        <f aca="false">ROUND(SUMIF('Line Items'!$D$2:$D$143,$A4,'Line Items'!$H$2:$H$143),2)</f>
        <v>461.02</v>
      </c>
      <c r="E4" s="6" t="n">
        <f aca="false">ROUND(D4*9%,2)</f>
        <v>41.49</v>
      </c>
      <c r="F4" s="6" t="n">
        <f aca="false">E4</f>
        <v>41.49</v>
      </c>
      <c r="G4" s="6" t="n">
        <f aca="false">D4+E4+F4</f>
        <v>544</v>
      </c>
    </row>
    <row r="5" customFormat="false" ht="15" hidden="false" customHeight="true" outlineLevel="0" collapsed="false">
      <c r="A5" s="5" t="s">
        <v>87</v>
      </c>
      <c r="B5" s="4" t="n">
        <f aca="false">COUNTIF('Line Items'!$D$2:$D$143,$A5)</f>
        <v>1</v>
      </c>
      <c r="C5" s="4" t="n">
        <f aca="false">SUMIF('Line Items'!$D$2:$D$143,$A5,'Line Items'!$E$2:$E$143)</f>
        <v>10</v>
      </c>
      <c r="D5" s="6" t="n">
        <f aca="false">ROUND(SUMIF('Line Items'!$D$2:$D$143,$A5,'Line Items'!$H$2:$H$143),2)</f>
        <v>504.24</v>
      </c>
      <c r="E5" s="6" t="n">
        <f aca="false">ROUND(D5*9%,2)</f>
        <v>45.38</v>
      </c>
      <c r="F5" s="6" t="n">
        <f aca="false">E5</f>
        <v>45.38</v>
      </c>
      <c r="G5" s="6" t="n">
        <f aca="false">D5+E5+F5</f>
        <v>595</v>
      </c>
    </row>
    <row r="6" customFormat="false" ht="15" hidden="false" customHeight="true" outlineLevel="0" collapsed="false">
      <c r="A6" s="5" t="s">
        <v>219</v>
      </c>
      <c r="B6" s="4" t="n">
        <f aca="false">COUNTIF('Line Items'!$D$2:$D$143,$A6)</f>
        <v>1</v>
      </c>
      <c r="C6" s="4" t="n">
        <f aca="false">SUMIF('Line Items'!$D$2:$D$143,$A6,'Line Items'!$E$2:$E$143)</f>
        <v>5</v>
      </c>
      <c r="D6" s="6" t="n">
        <f aca="false">ROUND(SUMIF('Line Items'!$D$2:$D$143,$A6,'Line Items'!$H$2:$H$143),2)</f>
        <v>583.47</v>
      </c>
      <c r="E6" s="6" t="n">
        <f aca="false">ROUND(D6*9%,2)</f>
        <v>52.51</v>
      </c>
      <c r="F6" s="6" t="n">
        <f aca="false">E6</f>
        <v>52.51</v>
      </c>
      <c r="G6" s="6" t="n">
        <f aca="false">D6+E6+F6</f>
        <v>688.49</v>
      </c>
    </row>
    <row r="7" customFormat="false" ht="15" hidden="false" customHeight="true" outlineLevel="0" collapsed="false">
      <c r="A7" s="5" t="s">
        <v>82</v>
      </c>
      <c r="B7" s="4" t="n">
        <f aca="false">COUNTIF('Line Items'!$D$2:$D$143,$A7)</f>
        <v>3</v>
      </c>
      <c r="C7" s="4" t="n">
        <f aca="false">SUMIF('Line Items'!$D$2:$D$143,$A7,'Line Items'!$E$2:$E$143)</f>
        <v>4</v>
      </c>
      <c r="D7" s="6" t="n">
        <f aca="false">ROUND(SUMIF('Line Items'!$D$2:$D$143,$A7,'Line Items'!$H$2:$H$143),2)</f>
        <v>2945.46</v>
      </c>
      <c r="E7" s="6" t="n">
        <f aca="false">ROUND(D7*9%,2)</f>
        <v>265.09</v>
      </c>
      <c r="F7" s="6" t="n">
        <f aca="false">E7</f>
        <v>265.09</v>
      </c>
      <c r="G7" s="6" t="n">
        <f aca="false">D7+E7+F7</f>
        <v>3475.64</v>
      </c>
    </row>
    <row r="8" customFormat="false" ht="15" hidden="false" customHeight="true" outlineLevel="0" collapsed="false">
      <c r="A8" s="5" t="s">
        <v>272</v>
      </c>
      <c r="B8" s="4" t="n">
        <f aca="false">COUNTIF('Line Items'!$D$2:$D$143,$A8)</f>
        <v>2</v>
      </c>
      <c r="C8" s="4" t="n">
        <f aca="false">SUMIF('Line Items'!$D$2:$D$143,$A8,'Line Items'!$E$2:$E$143)</f>
        <v>2</v>
      </c>
      <c r="D8" s="6" t="n">
        <f aca="false">ROUND(SUMIF('Line Items'!$D$2:$D$143,$A8,'Line Items'!$H$2:$H$143),2)</f>
        <v>338.56</v>
      </c>
      <c r="E8" s="6" t="n">
        <f aca="false">ROUND(D8*9%,2)</f>
        <v>30.47</v>
      </c>
      <c r="F8" s="6" t="n">
        <f aca="false">E8</f>
        <v>30.47</v>
      </c>
      <c r="G8" s="6" t="n">
        <f aca="false">D8+E8+F8</f>
        <v>399.5</v>
      </c>
    </row>
    <row r="9" customFormat="false" ht="15" hidden="false" customHeight="true" outlineLevel="0" collapsed="false">
      <c r="A9" s="5" t="s">
        <v>233</v>
      </c>
      <c r="B9" s="4" t="n">
        <f aca="false">COUNTIF('Line Items'!$D$2:$D$143,$A9)</f>
        <v>1</v>
      </c>
      <c r="C9" s="4" t="n">
        <f aca="false">SUMIF('Line Items'!$D$2:$D$143,$A9,'Line Items'!$E$2:$E$143)</f>
        <v>1</v>
      </c>
      <c r="D9" s="6" t="n">
        <f aca="false">ROUND(SUMIF('Line Items'!$D$2:$D$143,$A9,'Line Items'!$H$2:$H$143),2)</f>
        <v>528.01</v>
      </c>
      <c r="E9" s="6" t="n">
        <f aca="false">ROUND(D9*9%,2)</f>
        <v>47.52</v>
      </c>
      <c r="F9" s="6" t="n">
        <f aca="false">E9</f>
        <v>47.52</v>
      </c>
      <c r="G9" s="6" t="n">
        <f aca="false">D9+E9+F9</f>
        <v>623.05</v>
      </c>
    </row>
    <row r="10" customFormat="false" ht="15" hidden="false" customHeight="true" outlineLevel="0" collapsed="false">
      <c r="A10" s="5" t="s">
        <v>128</v>
      </c>
      <c r="B10" s="4" t="n">
        <f aca="false">COUNTIF('Line Items'!$D$2:$D$143,$A10)</f>
        <v>1</v>
      </c>
      <c r="C10" s="4" t="n">
        <f aca="false">SUMIF('Line Items'!$D$2:$D$143,$A10,'Line Items'!$E$2:$E$143)</f>
        <v>5</v>
      </c>
      <c r="D10" s="6" t="n">
        <f aca="false">ROUND(SUMIF('Line Items'!$D$2:$D$143,$A10,'Line Items'!$H$2:$H$143),2)</f>
        <v>1213.77</v>
      </c>
      <c r="E10" s="6" t="n">
        <f aca="false">ROUND(D10*9%,2)</f>
        <v>109.24</v>
      </c>
      <c r="F10" s="6" t="n">
        <f aca="false">E10</f>
        <v>109.24</v>
      </c>
      <c r="G10" s="6" t="n">
        <f aca="false">D10+E10+F10</f>
        <v>1432.25</v>
      </c>
    </row>
    <row r="11" customFormat="false" ht="15" hidden="false" customHeight="true" outlineLevel="0" collapsed="false">
      <c r="A11" s="5" t="s">
        <v>230</v>
      </c>
      <c r="B11" s="4" t="n">
        <f aca="false">COUNTIF('Line Items'!$D$2:$D$143,$A11)</f>
        <v>1</v>
      </c>
      <c r="C11" s="4" t="n">
        <f aca="false">SUMIF('Line Items'!$D$2:$D$143,$A11,'Line Items'!$E$2:$E$143)</f>
        <v>10</v>
      </c>
      <c r="D11" s="6" t="n">
        <f aca="false">ROUND(SUMIF('Line Items'!$D$2:$D$143,$A11,'Line Items'!$H$2:$H$143),2)</f>
        <v>655.51</v>
      </c>
      <c r="E11" s="6" t="n">
        <f aca="false">ROUND(D11*9%,2)</f>
        <v>59</v>
      </c>
      <c r="F11" s="6" t="n">
        <f aca="false">E11</f>
        <v>59</v>
      </c>
      <c r="G11" s="6" t="n">
        <f aca="false">D11+E11+F11</f>
        <v>773.51</v>
      </c>
    </row>
    <row r="12" customFormat="false" ht="15" hidden="false" customHeight="true" outlineLevel="0" collapsed="false">
      <c r="A12" s="5" t="s">
        <v>97</v>
      </c>
      <c r="B12" s="4" t="n">
        <f aca="false">COUNTIF('Line Items'!$D$2:$D$143,$A12)</f>
        <v>2</v>
      </c>
      <c r="C12" s="4" t="n">
        <f aca="false">SUMIF('Line Items'!$D$2:$D$143,$A12,'Line Items'!$E$2:$E$143)</f>
        <v>4</v>
      </c>
      <c r="D12" s="6" t="n">
        <f aca="false">ROUND(SUMIF('Line Items'!$D$2:$D$143,$A12,'Line Items'!$H$2:$H$143),2)</f>
        <v>291.01</v>
      </c>
      <c r="E12" s="6" t="n">
        <f aca="false">ROUND(D12*9%,2)</f>
        <v>26.19</v>
      </c>
      <c r="F12" s="6" t="n">
        <f aca="false">E12</f>
        <v>26.19</v>
      </c>
      <c r="G12" s="6" t="n">
        <f aca="false">D12+E12+F12</f>
        <v>343.39</v>
      </c>
    </row>
    <row r="13" customFormat="false" ht="15" hidden="false" customHeight="true" outlineLevel="0" collapsed="false">
      <c r="A13" s="5" t="s">
        <v>94</v>
      </c>
      <c r="B13" s="4" t="n">
        <f aca="false">COUNTIF('Line Items'!$D$2:$D$143,$A13)</f>
        <v>2</v>
      </c>
      <c r="C13" s="4" t="n">
        <f aca="false">SUMIF('Line Items'!$D$2:$D$143,$A13,'Line Items'!$E$2:$E$143)</f>
        <v>10</v>
      </c>
      <c r="D13" s="6" t="n">
        <f aca="false">ROUND(SUMIF('Line Items'!$D$2:$D$143,$A13,'Line Items'!$H$2:$H$143),2)</f>
        <v>1156.14</v>
      </c>
      <c r="E13" s="6" t="n">
        <f aca="false">ROUND(D13*9%,2)</f>
        <v>104.05</v>
      </c>
      <c r="F13" s="6" t="n">
        <f aca="false">E13</f>
        <v>104.05</v>
      </c>
      <c r="G13" s="6" t="n">
        <f aca="false">D13+E13+F13</f>
        <v>1364.24</v>
      </c>
    </row>
    <row r="14" customFormat="false" ht="15" hidden="false" customHeight="true" outlineLevel="0" collapsed="false">
      <c r="A14" s="5" t="s">
        <v>245</v>
      </c>
      <c r="B14" s="4" t="n">
        <f aca="false">COUNTIF('Line Items'!$D$2:$D$143,$A14)</f>
        <v>1</v>
      </c>
      <c r="C14" s="4" t="n">
        <f aca="false">SUMIF('Line Items'!$D$2:$D$143,$A14,'Line Items'!$E$2:$E$143)</f>
        <v>10</v>
      </c>
      <c r="D14" s="6" t="n">
        <f aca="false">ROUND(SUMIF('Line Items'!$D$2:$D$143,$A14,'Line Items'!$H$2:$H$143),2)</f>
        <v>669.92</v>
      </c>
      <c r="E14" s="6" t="n">
        <f aca="false">ROUND(D14*9%,2)</f>
        <v>60.29</v>
      </c>
      <c r="F14" s="6" t="n">
        <f aca="false">E14</f>
        <v>60.29</v>
      </c>
      <c r="G14" s="6" t="n">
        <f aca="false">D14+E14+F14</f>
        <v>790.5</v>
      </c>
    </row>
    <row r="15" customFormat="false" ht="15" hidden="false" customHeight="true" outlineLevel="0" collapsed="false">
      <c r="A15" s="5" t="s">
        <v>191</v>
      </c>
      <c r="B15" s="4" t="n">
        <f aca="false">COUNTIF('Line Items'!$D$2:$D$143,$A15)</f>
        <v>3</v>
      </c>
      <c r="C15" s="4" t="n">
        <f aca="false">SUMIF('Line Items'!$D$2:$D$143,$A15,'Line Items'!$E$2:$E$143)</f>
        <v>3</v>
      </c>
      <c r="D15" s="6" t="n">
        <f aca="false">ROUND(SUMIF('Line Items'!$D$2:$D$143,$A15,'Line Items'!$H$2:$H$143),2)</f>
        <v>2529.11</v>
      </c>
      <c r="E15" s="6" t="n">
        <f aca="false">ROUND(D15*9%,2)</f>
        <v>227.62</v>
      </c>
      <c r="F15" s="6" t="n">
        <f aca="false">E15</f>
        <v>227.62</v>
      </c>
      <c r="G15" s="6" t="n">
        <f aca="false">D15+E15+F15</f>
        <v>2984.35</v>
      </c>
    </row>
    <row r="16" customFormat="false" ht="15" hidden="false" customHeight="true" outlineLevel="0" collapsed="false">
      <c r="A16" s="5" t="s">
        <v>164</v>
      </c>
      <c r="B16" s="4" t="n">
        <f aca="false">COUNTIF('Line Items'!$D$2:$D$143,$A16)</f>
        <v>2</v>
      </c>
      <c r="C16" s="4" t="n">
        <f aca="false">SUMIF('Line Items'!$D$2:$D$143,$A16,'Line Items'!$E$2:$E$143)</f>
        <v>11</v>
      </c>
      <c r="D16" s="6" t="n">
        <f aca="false">ROUND(SUMIF('Line Items'!$D$2:$D$143,$A16,'Line Items'!$H$2:$H$143),2)</f>
        <v>2093.31</v>
      </c>
      <c r="E16" s="6" t="n">
        <f aca="false">ROUND(D16*9%,2)</f>
        <v>188.4</v>
      </c>
      <c r="F16" s="6" t="n">
        <f aca="false">E16</f>
        <v>188.4</v>
      </c>
      <c r="G16" s="6" t="n">
        <f aca="false">D16+E16+F16</f>
        <v>2470.11</v>
      </c>
    </row>
    <row r="17" customFormat="false" ht="15" hidden="false" customHeight="true" outlineLevel="0" collapsed="false">
      <c r="A17" s="5" t="s">
        <v>32</v>
      </c>
      <c r="B17" s="4" t="n">
        <f aca="false">COUNTIF('Line Items'!$D$2:$D$143,$A17)</f>
        <v>6</v>
      </c>
      <c r="C17" s="4" t="n">
        <f aca="false">SUMIF('Line Items'!$D$2:$D$143,$A17,'Line Items'!$E$2:$E$143)</f>
        <v>10</v>
      </c>
      <c r="D17" s="6" t="n">
        <f aca="false">ROUND(SUMIF('Line Items'!$D$2:$D$143,$A17,'Line Items'!$H$2:$H$143),2)</f>
        <v>3612.5</v>
      </c>
      <c r="E17" s="6" t="n">
        <f aca="false">ROUND(D17*9%,2)</f>
        <v>325.13</v>
      </c>
      <c r="F17" s="6" t="n">
        <f aca="false">E17</f>
        <v>325.13</v>
      </c>
      <c r="G17" s="6" t="n">
        <f aca="false">D17+E17+F17</f>
        <v>4262.76</v>
      </c>
    </row>
    <row r="18" customFormat="false" ht="15" hidden="false" customHeight="true" outlineLevel="0" collapsed="false">
      <c r="A18" s="5" t="s">
        <v>161</v>
      </c>
      <c r="B18" s="4" t="n">
        <f aca="false">COUNTIF('Line Items'!$D$2:$D$143,$A18)</f>
        <v>1</v>
      </c>
      <c r="C18" s="4" t="n">
        <f aca="false">SUMIF('Line Items'!$D$2:$D$143,$A18,'Line Items'!$E$2:$E$143)</f>
        <v>20</v>
      </c>
      <c r="D18" s="6" t="n">
        <f aca="false">ROUND(SUMIF('Line Items'!$D$2:$D$143,$A18,'Line Items'!$H$2:$H$143),2)</f>
        <v>691.53</v>
      </c>
      <c r="E18" s="6" t="n">
        <f aca="false">ROUND(D18*9%,2)</f>
        <v>62.24</v>
      </c>
      <c r="F18" s="6" t="n">
        <f aca="false">E18</f>
        <v>62.24</v>
      </c>
      <c r="G18" s="6" t="n">
        <f aca="false">D18+E18+F18</f>
        <v>816.01</v>
      </c>
    </row>
    <row r="19" customFormat="false" ht="15" hidden="false" customHeight="true" outlineLevel="0" collapsed="false">
      <c r="A19" s="5" t="s">
        <v>73</v>
      </c>
      <c r="B19" s="4" t="n">
        <f aca="false">COUNTIF('Line Items'!$D$2:$D$143,$A19)</f>
        <v>8</v>
      </c>
      <c r="C19" s="4" t="n">
        <f aca="false">SUMIF('Line Items'!$D$2:$D$143,$A19,'Line Items'!$E$2:$E$143)</f>
        <v>17</v>
      </c>
      <c r="D19" s="6" t="n">
        <f aca="false">ROUND(SUMIF('Line Items'!$D$2:$D$143,$A19,'Line Items'!$H$2:$H$143),2)</f>
        <v>4023.81</v>
      </c>
      <c r="E19" s="6" t="n">
        <f aca="false">ROUND(D19*9%,2)</f>
        <v>362.14</v>
      </c>
      <c r="F19" s="6" t="n">
        <f aca="false">E19</f>
        <v>362.14</v>
      </c>
      <c r="G19" s="6" t="n">
        <f aca="false">D19+E19+F19</f>
        <v>4748.09</v>
      </c>
    </row>
    <row r="20" customFormat="false" ht="15" hidden="false" customHeight="true" outlineLevel="0" collapsed="false">
      <c r="A20" s="5" t="s">
        <v>100</v>
      </c>
      <c r="B20" s="4" t="n">
        <f aca="false">COUNTIF('Line Items'!$D$2:$D$143,$A20)</f>
        <v>2</v>
      </c>
      <c r="C20" s="4" t="n">
        <f aca="false">SUMIF('Line Items'!$D$2:$D$143,$A20,'Line Items'!$E$2:$E$143)</f>
        <v>2</v>
      </c>
      <c r="D20" s="6" t="n">
        <f aca="false">ROUND(SUMIF('Line Items'!$D$2:$D$143,$A20,'Line Items'!$H$2:$H$143),2)</f>
        <v>1667.58</v>
      </c>
      <c r="E20" s="6" t="n">
        <f aca="false">ROUND(D20*9%,2)</f>
        <v>150.08</v>
      </c>
      <c r="F20" s="6" t="n">
        <f aca="false">E20</f>
        <v>150.08</v>
      </c>
      <c r="G20" s="6" t="n">
        <f aca="false">D20+E20+F20</f>
        <v>1967.74</v>
      </c>
    </row>
    <row r="21" customFormat="false" ht="15" hidden="false" customHeight="true" outlineLevel="0" collapsed="false">
      <c r="A21" s="5" t="s">
        <v>21</v>
      </c>
      <c r="B21" s="4" t="n">
        <f aca="false">COUNTIF('Line Items'!$D$2:$D$143,$A21)</f>
        <v>93</v>
      </c>
      <c r="C21" s="4" t="n">
        <f aca="false">SUMIF('Line Items'!$D$2:$D$143,$A21,'Line Items'!$E$2:$E$143)</f>
        <v>432</v>
      </c>
      <c r="D21" s="6" t="n">
        <f aca="false">ROUND(SUMIF('Line Items'!$D$2:$D$143,$A21,'Line Items'!$H$2:$H$143),2)</f>
        <v>69428.45</v>
      </c>
      <c r="E21" s="6" t="n">
        <f aca="false">ROUND(D21*9%,2)</f>
        <v>6248.56</v>
      </c>
      <c r="F21" s="6" t="n">
        <f aca="false">E21</f>
        <v>6248.56</v>
      </c>
      <c r="G21" s="6" t="n">
        <f aca="false">D21+E21+F21</f>
        <v>81925.57</v>
      </c>
    </row>
    <row r="22" customFormat="false" ht="15" hidden="false" customHeight="true" outlineLevel="0" collapsed="false">
      <c r="A22" s="5" t="s">
        <v>294</v>
      </c>
      <c r="B22" s="4" t="n">
        <f aca="false">COUNTIF('Line Items'!$D$2:$D$143,$A22)</f>
        <v>1</v>
      </c>
      <c r="C22" s="4" t="n">
        <f aca="false">SUMIF('Line Items'!$D$2:$D$143,$A22,'Line Items'!$E$2:$E$143)</f>
        <v>2</v>
      </c>
      <c r="D22" s="6" t="n">
        <f aca="false">ROUND(SUMIF('Line Items'!$D$2:$D$143,$A22,'Line Items'!$H$2:$H$143),2)</f>
        <v>583.47</v>
      </c>
      <c r="E22" s="6" t="n">
        <f aca="false">ROUND(D22*9%,2)</f>
        <v>52.51</v>
      </c>
      <c r="F22" s="6" t="n">
        <f aca="false">E22</f>
        <v>52.51</v>
      </c>
      <c r="G22" s="6" t="n">
        <f aca="false">D22+E22+F22</f>
        <v>688.49</v>
      </c>
    </row>
    <row r="23" customFormat="false" ht="15" hidden="false" customHeight="true" outlineLevel="0" collapsed="false">
      <c r="A23" s="5" t="s">
        <v>291</v>
      </c>
      <c r="B23" s="4" t="n">
        <f aca="false">COUNTIF('Line Items'!$D$2:$D$143,$A23)</f>
        <v>1</v>
      </c>
      <c r="C23" s="4" t="n">
        <f aca="false">SUMIF('Line Items'!$D$2:$D$143,$A23,'Line Items'!$E$2:$E$143)</f>
        <v>2</v>
      </c>
      <c r="D23" s="6" t="n">
        <f aca="false">ROUND(SUMIF('Line Items'!$D$2:$D$143,$A23,'Line Items'!$H$2:$H$143),2)</f>
        <v>599.32</v>
      </c>
      <c r="E23" s="6" t="n">
        <f aca="false">ROUND(D23*9%,2)</f>
        <v>53.94</v>
      </c>
      <c r="F23" s="6" t="n">
        <f aca="false">E23</f>
        <v>53.94</v>
      </c>
      <c r="G23" s="6" t="n">
        <f aca="false">D23+E23+F23</f>
        <v>707.2</v>
      </c>
    </row>
    <row r="24" customFormat="false" ht="15" hidden="false" customHeight="true" outlineLevel="0" collapsed="false">
      <c r="A24" s="5" t="s">
        <v>113</v>
      </c>
      <c r="B24" s="4" t="n">
        <f aca="false">COUNTIF('Line Items'!$D$2:$D$143,$A24)</f>
        <v>6</v>
      </c>
      <c r="C24" s="4" t="n">
        <f aca="false">SUMIF('Line Items'!$D$2:$D$143,$A24,'Line Items'!$E$2:$E$143)</f>
        <v>19</v>
      </c>
      <c r="D24" s="6" t="n">
        <f aca="false">ROUND(SUMIF('Line Items'!$D$2:$D$143,$A24,'Line Items'!$H$2:$H$143),2)</f>
        <v>1870</v>
      </c>
      <c r="E24" s="6" t="n">
        <f aca="false">ROUND(D24*9%,2)</f>
        <v>168.3</v>
      </c>
      <c r="F24" s="6" t="n">
        <f aca="false">E24</f>
        <v>168.3</v>
      </c>
      <c r="G24" s="6" t="n">
        <f aca="false">D24+E24+F24</f>
        <v>2206.6</v>
      </c>
    </row>
    <row r="25" customFormat="false" ht="15" hidden="false" customHeight="true" outlineLevel="0" collapsed="false">
      <c r="A25" s="5" t="s">
        <v>53</v>
      </c>
      <c r="B25" s="4" t="n">
        <f aca="false">COUNTIF('Line Items'!$D$2:$D$143,$A25)</f>
        <v>2</v>
      </c>
      <c r="C25" s="4" t="n">
        <f aca="false">SUMIF('Line Items'!$D$2:$D$143,$A25,'Line Items'!$E$2:$E$143)</f>
        <v>2</v>
      </c>
      <c r="D25" s="6" t="n">
        <f aca="false">ROUND(SUMIF('Line Items'!$D$2:$D$143,$A25,'Line Items'!$H$2:$H$143),2)</f>
        <v>507.12</v>
      </c>
      <c r="E25" s="6" t="n">
        <f aca="false">ROUND(D25*9%,2)</f>
        <v>45.64</v>
      </c>
      <c r="F25" s="6" t="n">
        <f aca="false">E25</f>
        <v>45.64</v>
      </c>
      <c r="G25" s="6" t="n">
        <f aca="false">D25+E25+F25</f>
        <v>598.4</v>
      </c>
    </row>
    <row r="26" customFormat="false" ht="15" hidden="false" customHeight="true" outlineLevel="0" collapsed="false">
      <c r="A26" s="5" t="s">
        <v>56</v>
      </c>
      <c r="B26" s="4" t="n">
        <f aca="false">COUNTIF('Line Items'!$D$2:$D$143,$A26)</f>
        <v>1</v>
      </c>
      <c r="C26" s="4" t="n">
        <f aca="false">SUMIF('Line Items'!$D$2:$D$143,$A26,'Line Items'!$E$2:$E$143)</f>
        <v>1</v>
      </c>
      <c r="D26" s="6" t="n">
        <f aca="false">ROUND(SUMIF('Line Items'!$D$2:$D$143,$A26,'Line Items'!$H$2:$H$143),2)</f>
        <v>152.71</v>
      </c>
      <c r="E26" s="6" t="n">
        <f aca="false">ROUND(D26*9%,2)</f>
        <v>13.74</v>
      </c>
      <c r="F26" s="6" t="n">
        <f aca="false">E26</f>
        <v>13.74</v>
      </c>
      <c r="G26" s="6" t="n">
        <f aca="false">D26+E26+F26</f>
        <v>180.19</v>
      </c>
    </row>
    <row r="27" customFormat="false" ht="15" hidden="false" customHeight="true" outlineLevel="0" collapsed="false">
      <c r="A27" s="8" t="s">
        <v>322</v>
      </c>
      <c r="B27" s="8" t="n">
        <f aca="false">SUM(B4:B26)</f>
        <v>142</v>
      </c>
      <c r="C27" s="8" t="n">
        <f aca="false">SUM(C4:C26)</f>
        <v>602</v>
      </c>
      <c r="D27" s="9" t="n">
        <f aca="false">SUM(D4:D26)</f>
        <v>97106.02</v>
      </c>
      <c r="E27" s="9" t="n">
        <f aca="false">SUM(E4:E26)</f>
        <v>8739.53</v>
      </c>
      <c r="F27" s="9" t="n">
        <f aca="false">SUM(F4:F26)</f>
        <v>8739.53</v>
      </c>
      <c r="G27" s="9" t="n">
        <f aca="false">SUM(G4:G26)</f>
        <v>114585.08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2026-08-26T17:23:44Z</dcterms:created>
  <dc:creator>openpyxl</dc:creator>
  <dc:description/>
  <dc:language>en-US</dc:language>
  <cp:lastModifiedBy/>
  <dcterms:modified xsi:type="dcterms:W3CDTF">2026-08-31T16:43:24Z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